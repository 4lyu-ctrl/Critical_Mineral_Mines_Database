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wildcat-my.sharepoint.com/personal/jmd4525_ads_northwestern_edu/Documents/02_Projects_Current/2023 Minerals Subgroup/Undergraduate Work/Daniel Zitomer/mining_organized/Critical Mineral Data Compendium Paper/CMDC_DataUpdate/"/>
    </mc:Choice>
  </mc:AlternateContent>
  <xr:revisionPtr revIDLastSave="124" documentId="11_EE62FDCEFAC16C19734E83B508A5B5DC76939465" xr6:coauthVersionLast="47" xr6:coauthVersionMax="47" xr10:uidLastSave="{EE2DE303-9972-4B46-8AAC-5425D1962114}"/>
  <bookViews>
    <workbookView xWindow="0" yWindow="500" windowWidth="28800" windowHeight="15700" xr2:uid="{00000000-000D-0000-FFFF-FFFF00000000}"/>
  </bookViews>
  <sheets>
    <sheet name="Releases" sheetId="1" r:id="rId1"/>
    <sheet name="Lead" sheetId="4" r:id="rId2"/>
    <sheet name="Production" sheetId="2" r:id="rId3"/>
    <sheet name="Normalized" sheetId="3" r:id="rId4"/>
  </sheets>
  <definedNames>
    <definedName name="_xlnm._FilterDatabase" localSheetId="0" hidden="1">Releases!$A$1:$I$658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D2" i="3" a="1"/>
  <c r="D2" i="3" s="1"/>
  <c r="E2" i="3" a="1"/>
  <c r="E2" i="3" s="1"/>
  <c r="F2" i="3" a="1"/>
  <c r="F2" i="3" s="1"/>
  <c r="G2" i="3" a="1"/>
  <c r="G2" i="3" s="1"/>
  <c r="H2" i="3" a="1"/>
  <c r="H2" i="3" s="1"/>
  <c r="I2" i="3" a="1"/>
  <c r="I2" i="3" s="1"/>
  <c r="J2" i="3" a="1"/>
  <c r="J2" i="3" s="1"/>
  <c r="K2" i="3" a="1"/>
  <c r="K2" i="3" s="1"/>
  <c r="C3" i="3" a="1"/>
  <c r="C3" i="3" s="1"/>
  <c r="D3" i="3" a="1"/>
  <c r="D3" i="3" s="1"/>
  <c r="E3" i="3" a="1"/>
  <c r="E3" i="3" s="1"/>
  <c r="F3" i="3" a="1"/>
  <c r="F3" i="3" s="1"/>
  <c r="G3" i="3" a="1"/>
  <c r="G3" i="3" s="1"/>
  <c r="H3" i="3" a="1"/>
  <c r="H3" i="3" s="1"/>
  <c r="I3" i="3" a="1"/>
  <c r="I3" i="3" s="1"/>
  <c r="J3" i="3" a="1"/>
  <c r="J3" i="3" s="1"/>
  <c r="K3" i="3" a="1"/>
  <c r="K3" i="3" s="1"/>
  <c r="C4" i="3" a="1"/>
  <c r="C4" i="3" s="1"/>
  <c r="D4" i="3" a="1"/>
  <c r="D4" i="3" s="1"/>
  <c r="E4" i="3" a="1"/>
  <c r="E4" i="3" s="1"/>
  <c r="F4" i="3" a="1"/>
  <c r="F4" i="3" s="1"/>
  <c r="G4" i="3" a="1"/>
  <c r="G4" i="3" s="1"/>
  <c r="H4" i="3" a="1"/>
  <c r="H4" i="3" s="1"/>
  <c r="I4" i="3" a="1"/>
  <c r="I4" i="3" s="1"/>
  <c r="J4" i="3" a="1"/>
  <c r="J4" i="3" s="1"/>
  <c r="K4" i="3" a="1"/>
  <c r="K4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B3" i="3" a="1"/>
  <c r="B3" i="3" s="1"/>
  <c r="B4" i="3" a="1"/>
  <c r="B4" i="3" s="1"/>
  <c r="B5" i="3" a="1"/>
  <c r="B5" i="3" s="1"/>
  <c r="B2" i="3" a="1"/>
  <c r="B2" i="3" s="1"/>
  <c r="K2" i="4" a="1"/>
  <c r="K2" i="4" s="1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B11" i="2"/>
  <c r="B12" i="2"/>
  <c r="B13" i="2"/>
  <c r="B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<sst xmlns="http://schemas.openxmlformats.org/spreadsheetml/2006/main" count="2856" uniqueCount="77">
  <si>
    <t>TRI Facility Name</t>
  </si>
  <si>
    <t>TRI Facility ID</t>
  </si>
  <si>
    <t>Year</t>
  </si>
  <si>
    <t>Chemical</t>
  </si>
  <si>
    <t>Releases (lb)</t>
  </si>
  <si>
    <t>Air Releases (lb)</t>
  </si>
  <si>
    <t>Water Releases (lb)</t>
  </si>
  <si>
    <t>Land Releases (lb)</t>
  </si>
  <si>
    <t>Off-Site Releases (lb)</t>
  </si>
  <si>
    <t>FREEPORT-MCMORAN MORENCI INC</t>
  </si>
  <si>
    <t>85540PHLPS4521U</t>
  </si>
  <si>
    <t>2014</t>
  </si>
  <si>
    <t>Lead compounds (N420)</t>
  </si>
  <si>
    <t>FREEPORT-MCMORAN SIERRITA INC</t>
  </si>
  <si>
    <t>85614CYPRS6200W</t>
  </si>
  <si>
    <t>FREEPORT-MCMORAN BAGDAD INC</t>
  </si>
  <si>
    <t>86321CYPRS1MAIN</t>
  </si>
  <si>
    <t>Manganese compounds (N450)</t>
  </si>
  <si>
    <t>FREEPORT-MCMORAN SAFFORD INC</t>
  </si>
  <si>
    <t>85548FRPRT85NFR</t>
  </si>
  <si>
    <t>Chromium compounds (N090)</t>
  </si>
  <si>
    <t>Chromium (7440-47-3)</t>
  </si>
  <si>
    <t>Nickel (7440-02-0)</t>
  </si>
  <si>
    <t>Manganese (7439-96-5)</t>
  </si>
  <si>
    <t>Zinc compounds (N982)</t>
  </si>
  <si>
    <t>Sulfuric acid (acid aerosols) (7664-93-9)</t>
  </si>
  <si>
    <t>Copper compounds (N100)</t>
  </si>
  <si>
    <t>Vanadium compounds (N770)</t>
  </si>
  <si>
    <t>Ammonia (7664-41-7)</t>
  </si>
  <si>
    <t>Molybdenum trioxide (1313-27-5)</t>
  </si>
  <si>
    <t>Cobalt compounds (N096)</t>
  </si>
  <si>
    <t>Toluene (108-88-3)</t>
  </si>
  <si>
    <t>Benzene (71-43-2)</t>
  </si>
  <si>
    <t>Xylene (mixed isomers) (1330-20-7)</t>
  </si>
  <si>
    <t>Mercury compounds (N458)</t>
  </si>
  <si>
    <t>n-Hexane (110-54-3)</t>
  </si>
  <si>
    <t>1,2,4-Trimethylbenzene (95-63-6)</t>
  </si>
  <si>
    <t>Naphthalene (91-20-3)</t>
  </si>
  <si>
    <t>Ethylbenzene (100-41-4)</t>
  </si>
  <si>
    <t>Chlorine (7782-50-5)</t>
  </si>
  <si>
    <t>Nitrate compounds (water dissociable) (N511)</t>
  </si>
  <si>
    <t>Dioxin and dioxin-like compounds (N150)</t>
  </si>
  <si>
    <t>No Releases Reported</t>
  </si>
  <si>
    <t>n-Butyl alcohol (71-36-3)</t>
  </si>
  <si>
    <t>sec-Butyl alcohol (78-92-2)</t>
  </si>
  <si>
    <t>Sodium nitrite (7632-00-0)</t>
  </si>
  <si>
    <t>2015</t>
  </si>
  <si>
    <t>Nickel compounds (N495)</t>
  </si>
  <si>
    <t>Ethylene glycol (107-21-1)</t>
  </si>
  <si>
    <t>2016</t>
  </si>
  <si>
    <t>Selenium compounds (N725)</t>
  </si>
  <si>
    <t>2017</t>
  </si>
  <si>
    <t>2018</t>
  </si>
  <si>
    <t>Barium compounds (N040)</t>
  </si>
  <si>
    <t>Cadmium compounds (N078)</t>
  </si>
  <si>
    <t>Thallium compounds (N760)</t>
  </si>
  <si>
    <t>Nonylphenol (N530)</t>
  </si>
  <si>
    <t>2019</t>
  </si>
  <si>
    <t>Cobalt (7440-48-4)</t>
  </si>
  <si>
    <t>Arsenic (7440-38-2)</t>
  </si>
  <si>
    <t>Polycyclic aromatic compounds (N590)</t>
  </si>
  <si>
    <t>2020</t>
  </si>
  <si>
    <t>Arsenic compounds (N020)</t>
  </si>
  <si>
    <t>Cumene (98-82-8)</t>
  </si>
  <si>
    <t>Cyclohexane (110-82-7)</t>
  </si>
  <si>
    <t>2021</t>
  </si>
  <si>
    <t>Butyraldehyde (123-72-8)</t>
  </si>
  <si>
    <t>2022</t>
  </si>
  <si>
    <t>Trade Secret (TRD SECRT)</t>
  </si>
  <si>
    <t>2023</t>
  </si>
  <si>
    <t>Safford</t>
  </si>
  <si>
    <t>Bagdad</t>
  </si>
  <si>
    <t>Morenci</t>
  </si>
  <si>
    <t>Sierrita</t>
  </si>
  <si>
    <t>Recoverable copper, in million lbs</t>
  </si>
  <si>
    <t>Recoverable copper, in metric ton</t>
  </si>
  <si>
    <t>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</si>
</sst>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58"/>
  <sheetViews>
    <sheetView tabSelected="1" workbookViewId="0">
      <selection activeCell="E473" sqref="E473"/>
    </sheetView>
  </sheetViews>
  <sheetFormatPr baseColWidth="10" defaultColWidth="8.83203125" defaultRowHeight="15" x14ac:dyDescent="0.2"/>
  <cols>
    <col min="1" max="1" width="28.5" bestFit="1" customWidth="1"/>
    <col min="2" max="4" width="15.6640625" customWidth="1"/>
    <col min="5" max="9" width="15.6640625" style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15</v>
      </c>
      <c r="B2" t="s">
        <v>16</v>
      </c>
      <c r="C2" t="s">
        <v>67</v>
      </c>
      <c r="D2" t="s">
        <v>41</v>
      </c>
      <c r="E2" s="1">
        <v>2.2270499999999999E-4</v>
      </c>
      <c r="F2" s="1">
        <v>2.2270499999999999E-4</v>
      </c>
      <c r="G2" s="1">
        <v>0</v>
      </c>
      <c r="H2" s="1">
        <v>0</v>
      </c>
      <c r="I2" s="1">
        <v>0</v>
      </c>
    </row>
    <row r="3" spans="1:9" hidden="1" x14ac:dyDescent="0.2">
      <c r="A3" t="s">
        <v>15</v>
      </c>
      <c r="B3" t="s">
        <v>16</v>
      </c>
      <c r="C3" t="s">
        <v>69</v>
      </c>
      <c r="D3" t="s">
        <v>41</v>
      </c>
      <c r="E3" s="1">
        <v>2.4232950000000001E-4</v>
      </c>
      <c r="F3" s="1">
        <v>2.4232950000000001E-4</v>
      </c>
      <c r="G3" s="1">
        <v>0</v>
      </c>
      <c r="H3" s="1">
        <v>0</v>
      </c>
      <c r="I3" s="1">
        <v>0</v>
      </c>
    </row>
    <row r="4" spans="1:9" hidden="1" x14ac:dyDescent="0.2">
      <c r="A4" t="s">
        <v>15</v>
      </c>
      <c r="B4" t="s">
        <v>16</v>
      </c>
      <c r="C4" t="s">
        <v>11</v>
      </c>
      <c r="D4" t="s">
        <v>29</v>
      </c>
      <c r="E4" s="1">
        <v>5</v>
      </c>
      <c r="F4" s="1">
        <v>0</v>
      </c>
      <c r="G4" s="1">
        <v>0</v>
      </c>
      <c r="H4" s="1">
        <v>0</v>
      </c>
      <c r="I4" s="1">
        <v>5</v>
      </c>
    </row>
    <row r="5" spans="1:9" hidden="1" x14ac:dyDescent="0.2">
      <c r="A5" t="s">
        <v>9</v>
      </c>
      <c r="B5" t="s">
        <v>10</v>
      </c>
      <c r="C5" t="s">
        <v>11</v>
      </c>
      <c r="D5" t="s">
        <v>30</v>
      </c>
      <c r="E5" s="1" t="s">
        <v>42</v>
      </c>
      <c r="F5" s="1">
        <v>0</v>
      </c>
      <c r="G5" s="1">
        <v>0</v>
      </c>
      <c r="H5" s="1">
        <v>0</v>
      </c>
      <c r="I5" s="1">
        <v>0</v>
      </c>
    </row>
    <row r="6" spans="1:9" hidden="1" x14ac:dyDescent="0.2">
      <c r="A6" t="s">
        <v>9</v>
      </c>
      <c r="B6" t="s">
        <v>10</v>
      </c>
      <c r="C6" t="s">
        <v>11</v>
      </c>
      <c r="D6" t="s">
        <v>43</v>
      </c>
      <c r="E6" s="1" t="s">
        <v>42</v>
      </c>
      <c r="F6" s="1">
        <v>0</v>
      </c>
      <c r="G6" s="1">
        <v>0</v>
      </c>
      <c r="H6" s="1">
        <v>0</v>
      </c>
      <c r="I6" s="1">
        <v>0</v>
      </c>
    </row>
    <row r="7" spans="1:9" hidden="1" x14ac:dyDescent="0.2">
      <c r="A7" t="s">
        <v>9</v>
      </c>
      <c r="B7" t="s">
        <v>10</v>
      </c>
      <c r="C7" t="s">
        <v>11</v>
      </c>
      <c r="D7" t="s">
        <v>44</v>
      </c>
      <c r="E7" s="1" t="s">
        <v>42</v>
      </c>
      <c r="F7" s="1">
        <v>0</v>
      </c>
      <c r="G7" s="1">
        <v>0</v>
      </c>
      <c r="H7" s="1">
        <v>0</v>
      </c>
      <c r="I7" s="1">
        <v>0</v>
      </c>
    </row>
    <row r="8" spans="1:9" hidden="1" x14ac:dyDescent="0.2">
      <c r="A8" t="s">
        <v>9</v>
      </c>
      <c r="B8" t="s">
        <v>10</v>
      </c>
      <c r="C8" t="s">
        <v>11</v>
      </c>
      <c r="D8" t="s">
        <v>45</v>
      </c>
      <c r="E8" s="1" t="s">
        <v>42</v>
      </c>
      <c r="F8" s="1">
        <v>0</v>
      </c>
      <c r="G8" s="1">
        <v>0</v>
      </c>
      <c r="H8" s="1">
        <v>0</v>
      </c>
      <c r="I8" s="1">
        <v>0</v>
      </c>
    </row>
    <row r="9" spans="1:9" hidden="1" x14ac:dyDescent="0.2">
      <c r="A9" t="s">
        <v>18</v>
      </c>
      <c r="B9" t="s">
        <v>19</v>
      </c>
      <c r="C9" t="s">
        <v>11</v>
      </c>
      <c r="D9" t="s">
        <v>30</v>
      </c>
      <c r="E9" s="1" t="s">
        <v>42</v>
      </c>
      <c r="F9" s="1">
        <v>0</v>
      </c>
      <c r="G9" s="1">
        <v>0</v>
      </c>
      <c r="H9" s="1">
        <v>0</v>
      </c>
      <c r="I9" s="1">
        <v>0</v>
      </c>
    </row>
    <row r="10" spans="1:9" hidden="1" x14ac:dyDescent="0.2">
      <c r="A10" t="s">
        <v>18</v>
      </c>
      <c r="B10" t="s">
        <v>19</v>
      </c>
      <c r="C10" t="s">
        <v>11</v>
      </c>
      <c r="D10" t="s">
        <v>23</v>
      </c>
      <c r="E10" s="1" t="s">
        <v>42</v>
      </c>
      <c r="F10" s="1">
        <v>0</v>
      </c>
      <c r="G10" s="1">
        <v>0</v>
      </c>
      <c r="H10" s="1">
        <v>0</v>
      </c>
      <c r="I10" s="1">
        <v>0</v>
      </c>
    </row>
    <row r="11" spans="1:9" hidden="1" x14ac:dyDescent="0.2">
      <c r="A11" t="s">
        <v>18</v>
      </c>
      <c r="B11" t="s">
        <v>19</v>
      </c>
      <c r="C11" t="s">
        <v>11</v>
      </c>
      <c r="D11" t="s">
        <v>40</v>
      </c>
      <c r="E11" s="1" t="s">
        <v>42</v>
      </c>
      <c r="F11" s="1">
        <v>0</v>
      </c>
      <c r="G11" s="1">
        <v>0</v>
      </c>
      <c r="H11" s="1">
        <v>0</v>
      </c>
      <c r="I11" s="1">
        <v>0</v>
      </c>
    </row>
    <row r="12" spans="1:9" hidden="1" x14ac:dyDescent="0.2">
      <c r="A12" t="s">
        <v>13</v>
      </c>
      <c r="B12" t="s">
        <v>14</v>
      </c>
      <c r="C12" t="s">
        <v>11</v>
      </c>
      <c r="D12" t="s">
        <v>43</v>
      </c>
      <c r="E12" s="1" t="s">
        <v>42</v>
      </c>
      <c r="F12" s="1">
        <v>0</v>
      </c>
      <c r="G12" s="1">
        <v>0</v>
      </c>
      <c r="H12" s="1">
        <v>0</v>
      </c>
      <c r="I12" s="1">
        <v>0</v>
      </c>
    </row>
    <row r="13" spans="1:9" hidden="1" x14ac:dyDescent="0.2">
      <c r="A13" t="s">
        <v>13</v>
      </c>
      <c r="B13" t="s">
        <v>14</v>
      </c>
      <c r="C13" t="s">
        <v>11</v>
      </c>
      <c r="D13" t="s">
        <v>40</v>
      </c>
      <c r="E13" s="1" t="s">
        <v>42</v>
      </c>
      <c r="F13" s="1">
        <v>0</v>
      </c>
      <c r="G13" s="1">
        <v>0</v>
      </c>
      <c r="H13" s="1">
        <v>0</v>
      </c>
      <c r="I13" s="1">
        <v>0</v>
      </c>
    </row>
    <row r="14" spans="1:9" hidden="1" x14ac:dyDescent="0.2">
      <c r="A14" t="s">
        <v>15</v>
      </c>
      <c r="B14" t="s">
        <v>16</v>
      </c>
      <c r="C14" t="s">
        <v>61</v>
      </c>
      <c r="D14" t="s">
        <v>63</v>
      </c>
      <c r="E14" s="1">
        <v>250</v>
      </c>
      <c r="F14" s="1">
        <v>250</v>
      </c>
      <c r="G14" s="1">
        <v>0</v>
      </c>
      <c r="H14" s="1">
        <v>0</v>
      </c>
      <c r="I14" s="1">
        <v>0</v>
      </c>
    </row>
    <row r="15" spans="1:9" hidden="1" x14ac:dyDescent="0.2">
      <c r="A15" t="s">
        <v>15</v>
      </c>
      <c r="B15" t="s">
        <v>16</v>
      </c>
      <c r="C15" t="s">
        <v>11</v>
      </c>
      <c r="D15" t="s">
        <v>28</v>
      </c>
      <c r="E15" s="1">
        <v>750</v>
      </c>
      <c r="F15" s="1">
        <v>750</v>
      </c>
      <c r="G15" s="1">
        <v>0</v>
      </c>
      <c r="H15" s="1">
        <v>0</v>
      </c>
      <c r="I15" s="1">
        <v>0</v>
      </c>
    </row>
    <row r="16" spans="1:9" hidden="1" x14ac:dyDescent="0.2">
      <c r="A16" t="s">
        <v>15</v>
      </c>
      <c r="B16" t="s">
        <v>16</v>
      </c>
      <c r="C16" t="s">
        <v>11</v>
      </c>
      <c r="D16" t="s">
        <v>33</v>
      </c>
      <c r="E16" s="1">
        <v>750</v>
      </c>
      <c r="F16" s="1">
        <v>750</v>
      </c>
      <c r="G16" s="1">
        <v>0</v>
      </c>
      <c r="H16" s="1">
        <v>0</v>
      </c>
      <c r="I16" s="1">
        <v>0</v>
      </c>
    </row>
    <row r="17" spans="1:9" hidden="1" x14ac:dyDescent="0.2">
      <c r="A17" t="s">
        <v>9</v>
      </c>
      <c r="B17" t="s">
        <v>10</v>
      </c>
      <c r="C17" t="s">
        <v>46</v>
      </c>
      <c r="D17" t="s">
        <v>48</v>
      </c>
      <c r="E17" s="1" t="s">
        <v>42</v>
      </c>
      <c r="F17" s="1">
        <v>0</v>
      </c>
      <c r="G17" s="1">
        <v>0</v>
      </c>
      <c r="H17" s="1">
        <v>0</v>
      </c>
      <c r="I17" s="1">
        <v>0</v>
      </c>
    </row>
    <row r="18" spans="1:9" hidden="1" x14ac:dyDescent="0.2">
      <c r="A18" t="s">
        <v>9</v>
      </c>
      <c r="B18" t="s">
        <v>10</v>
      </c>
      <c r="C18" t="s">
        <v>46</v>
      </c>
      <c r="D18" t="s">
        <v>43</v>
      </c>
      <c r="E18" s="1" t="s">
        <v>42</v>
      </c>
      <c r="F18" s="1">
        <v>0</v>
      </c>
      <c r="G18" s="1">
        <v>0</v>
      </c>
      <c r="H18" s="1">
        <v>0</v>
      </c>
      <c r="I18" s="1">
        <v>0</v>
      </c>
    </row>
    <row r="19" spans="1:9" hidden="1" x14ac:dyDescent="0.2">
      <c r="A19" t="s">
        <v>9</v>
      </c>
      <c r="B19" t="s">
        <v>10</v>
      </c>
      <c r="C19" t="s">
        <v>46</v>
      </c>
      <c r="D19" t="s">
        <v>44</v>
      </c>
      <c r="E19" s="1" t="s">
        <v>42</v>
      </c>
      <c r="F19" s="1">
        <v>0</v>
      </c>
      <c r="G19" s="1">
        <v>0</v>
      </c>
      <c r="H19" s="1">
        <v>0</v>
      </c>
      <c r="I19" s="1">
        <v>0</v>
      </c>
    </row>
    <row r="20" spans="1:9" hidden="1" x14ac:dyDescent="0.2">
      <c r="A20" t="s">
        <v>9</v>
      </c>
      <c r="B20" t="s">
        <v>10</v>
      </c>
      <c r="C20" t="s">
        <v>46</v>
      </c>
      <c r="D20" t="s">
        <v>45</v>
      </c>
      <c r="E20" s="1" t="s">
        <v>42</v>
      </c>
      <c r="F20" s="1">
        <v>0</v>
      </c>
      <c r="G20" s="1">
        <v>0</v>
      </c>
      <c r="H20" s="1">
        <v>0</v>
      </c>
      <c r="I20" s="1">
        <v>0</v>
      </c>
    </row>
    <row r="21" spans="1:9" hidden="1" x14ac:dyDescent="0.2">
      <c r="A21" t="s">
        <v>18</v>
      </c>
      <c r="B21" t="s">
        <v>19</v>
      </c>
      <c r="C21" t="s">
        <v>46</v>
      </c>
      <c r="D21" t="s">
        <v>30</v>
      </c>
      <c r="E21" s="1" t="s">
        <v>42</v>
      </c>
      <c r="F21" s="1">
        <v>0</v>
      </c>
      <c r="G21" s="1">
        <v>0</v>
      </c>
      <c r="H21" s="1">
        <v>0</v>
      </c>
      <c r="I21" s="1">
        <v>0</v>
      </c>
    </row>
    <row r="22" spans="1:9" hidden="1" x14ac:dyDescent="0.2">
      <c r="A22" t="s">
        <v>18</v>
      </c>
      <c r="B22" t="s">
        <v>19</v>
      </c>
      <c r="C22" t="s">
        <v>46</v>
      </c>
      <c r="D22" t="s">
        <v>23</v>
      </c>
      <c r="E22" s="1" t="s">
        <v>42</v>
      </c>
      <c r="F22" s="1">
        <v>0</v>
      </c>
      <c r="G22" s="1">
        <v>0</v>
      </c>
      <c r="H22" s="1">
        <v>0</v>
      </c>
      <c r="I22" s="1">
        <v>0</v>
      </c>
    </row>
    <row r="23" spans="1:9" hidden="1" x14ac:dyDescent="0.2">
      <c r="A23" t="s">
        <v>18</v>
      </c>
      <c r="B23" t="s">
        <v>19</v>
      </c>
      <c r="C23" t="s">
        <v>46</v>
      </c>
      <c r="D23" t="s">
        <v>40</v>
      </c>
      <c r="E23" s="1" t="s">
        <v>42</v>
      </c>
      <c r="F23" s="1">
        <v>0</v>
      </c>
      <c r="G23" s="1">
        <v>0</v>
      </c>
      <c r="H23" s="1">
        <v>0</v>
      </c>
      <c r="I23" s="1">
        <v>0</v>
      </c>
    </row>
    <row r="24" spans="1:9" hidden="1" x14ac:dyDescent="0.2">
      <c r="A24" t="s">
        <v>18</v>
      </c>
      <c r="B24" t="s">
        <v>19</v>
      </c>
      <c r="C24" t="s">
        <v>46</v>
      </c>
      <c r="D24" t="s">
        <v>27</v>
      </c>
      <c r="E24" s="1" t="s">
        <v>42</v>
      </c>
      <c r="F24" s="1">
        <v>0</v>
      </c>
      <c r="G24" s="1">
        <v>0</v>
      </c>
      <c r="H24" s="1">
        <v>0</v>
      </c>
      <c r="I24" s="1">
        <v>0</v>
      </c>
    </row>
    <row r="25" spans="1:9" hidden="1" x14ac:dyDescent="0.2">
      <c r="A25" t="s">
        <v>13</v>
      </c>
      <c r="B25" t="s">
        <v>14</v>
      </c>
      <c r="C25" t="s">
        <v>46</v>
      </c>
      <c r="D25" t="s">
        <v>43</v>
      </c>
      <c r="E25" s="1" t="s">
        <v>42</v>
      </c>
      <c r="F25" s="1">
        <v>0</v>
      </c>
      <c r="G25" s="1">
        <v>0</v>
      </c>
      <c r="H25" s="1">
        <v>0</v>
      </c>
      <c r="I25" s="1">
        <v>0</v>
      </c>
    </row>
    <row r="26" spans="1:9" hidden="1" x14ac:dyDescent="0.2">
      <c r="A26" t="s">
        <v>13</v>
      </c>
      <c r="B26" t="s">
        <v>14</v>
      </c>
      <c r="C26" t="s">
        <v>46</v>
      </c>
      <c r="D26" t="s">
        <v>40</v>
      </c>
      <c r="E26" s="1" t="s">
        <v>42</v>
      </c>
      <c r="F26" s="1">
        <v>0</v>
      </c>
      <c r="G26" s="1">
        <v>0</v>
      </c>
      <c r="H26" s="1">
        <v>0</v>
      </c>
      <c r="I26" s="1">
        <v>0</v>
      </c>
    </row>
    <row r="27" spans="1:9" hidden="1" x14ac:dyDescent="0.2">
      <c r="A27" t="s">
        <v>15</v>
      </c>
      <c r="B27" t="s">
        <v>16</v>
      </c>
      <c r="C27" t="s">
        <v>46</v>
      </c>
      <c r="D27" t="s">
        <v>28</v>
      </c>
      <c r="E27" s="1">
        <v>750</v>
      </c>
      <c r="F27" s="1">
        <v>750</v>
      </c>
      <c r="G27" s="1">
        <v>0</v>
      </c>
      <c r="H27" s="1">
        <v>0</v>
      </c>
      <c r="I27" s="1">
        <v>0</v>
      </c>
    </row>
    <row r="28" spans="1:9" hidden="1" x14ac:dyDescent="0.2">
      <c r="A28" t="s">
        <v>15</v>
      </c>
      <c r="B28" t="s">
        <v>16</v>
      </c>
      <c r="C28" t="s">
        <v>46</v>
      </c>
      <c r="D28" t="s">
        <v>29</v>
      </c>
      <c r="E28" s="1">
        <v>750</v>
      </c>
      <c r="F28" s="1">
        <v>0</v>
      </c>
      <c r="G28" s="1">
        <v>0</v>
      </c>
      <c r="H28" s="1">
        <v>0</v>
      </c>
      <c r="I28" s="1">
        <v>750</v>
      </c>
    </row>
    <row r="29" spans="1:9" hidden="1" x14ac:dyDescent="0.2">
      <c r="A29" t="s">
        <v>9</v>
      </c>
      <c r="B29" t="s">
        <v>10</v>
      </c>
      <c r="C29" t="s">
        <v>49</v>
      </c>
      <c r="D29" t="s">
        <v>43</v>
      </c>
      <c r="E29" s="1" t="s">
        <v>42</v>
      </c>
      <c r="F29" s="1">
        <v>0</v>
      </c>
      <c r="G29" s="1">
        <v>0</v>
      </c>
      <c r="H29" s="1">
        <v>0</v>
      </c>
      <c r="I29" s="1">
        <v>0</v>
      </c>
    </row>
    <row r="30" spans="1:9" hidden="1" x14ac:dyDescent="0.2">
      <c r="A30" t="s">
        <v>9</v>
      </c>
      <c r="B30" t="s">
        <v>10</v>
      </c>
      <c r="C30" t="s">
        <v>49</v>
      </c>
      <c r="D30" t="s">
        <v>44</v>
      </c>
      <c r="E30" s="1" t="s">
        <v>42</v>
      </c>
      <c r="F30" s="1">
        <v>0</v>
      </c>
      <c r="G30" s="1">
        <v>0</v>
      </c>
      <c r="H30" s="1">
        <v>0</v>
      </c>
      <c r="I30" s="1">
        <v>0</v>
      </c>
    </row>
    <row r="31" spans="1:9" hidden="1" x14ac:dyDescent="0.2">
      <c r="A31" t="s">
        <v>9</v>
      </c>
      <c r="B31" t="s">
        <v>10</v>
      </c>
      <c r="C31" t="s">
        <v>49</v>
      </c>
      <c r="D31" t="s">
        <v>45</v>
      </c>
      <c r="E31" s="1" t="s">
        <v>42</v>
      </c>
      <c r="F31" s="1">
        <v>0</v>
      </c>
      <c r="G31" s="1">
        <v>0</v>
      </c>
      <c r="H31" s="1">
        <v>0</v>
      </c>
      <c r="I31" s="1">
        <v>0</v>
      </c>
    </row>
    <row r="32" spans="1:9" hidden="1" x14ac:dyDescent="0.2">
      <c r="A32" t="s">
        <v>15</v>
      </c>
      <c r="B32" t="s">
        <v>16</v>
      </c>
      <c r="C32" t="s">
        <v>49</v>
      </c>
      <c r="D32" t="s">
        <v>28</v>
      </c>
      <c r="E32" s="1">
        <v>750</v>
      </c>
      <c r="F32" s="1">
        <v>750</v>
      </c>
      <c r="G32" s="1">
        <v>0</v>
      </c>
      <c r="H32" s="1">
        <v>0</v>
      </c>
      <c r="I32" s="1">
        <v>0</v>
      </c>
    </row>
    <row r="33" spans="1:9" hidden="1" x14ac:dyDescent="0.2">
      <c r="A33" t="s">
        <v>18</v>
      </c>
      <c r="B33" t="s">
        <v>19</v>
      </c>
      <c r="C33" t="s">
        <v>49</v>
      </c>
      <c r="D33" t="s">
        <v>30</v>
      </c>
      <c r="E33" s="1" t="s">
        <v>42</v>
      </c>
      <c r="F33" s="1">
        <v>0</v>
      </c>
      <c r="G33" s="1">
        <v>0</v>
      </c>
      <c r="H33" s="1">
        <v>0</v>
      </c>
      <c r="I33" s="1">
        <v>0</v>
      </c>
    </row>
    <row r="34" spans="1:9" hidden="1" x14ac:dyDescent="0.2">
      <c r="A34" t="s">
        <v>18</v>
      </c>
      <c r="B34" t="s">
        <v>19</v>
      </c>
      <c r="C34" t="s">
        <v>49</v>
      </c>
      <c r="D34" t="s">
        <v>23</v>
      </c>
      <c r="E34" s="1" t="s">
        <v>42</v>
      </c>
      <c r="F34" s="1">
        <v>0</v>
      </c>
      <c r="G34" s="1">
        <v>0</v>
      </c>
      <c r="H34" s="1">
        <v>0</v>
      </c>
      <c r="I34" s="1">
        <v>0</v>
      </c>
    </row>
    <row r="35" spans="1:9" hidden="1" x14ac:dyDescent="0.2">
      <c r="A35" t="s">
        <v>18</v>
      </c>
      <c r="B35" t="s">
        <v>19</v>
      </c>
      <c r="C35" t="s">
        <v>49</v>
      </c>
      <c r="D35" t="s">
        <v>22</v>
      </c>
      <c r="E35" s="1" t="s">
        <v>42</v>
      </c>
      <c r="F35" s="1">
        <v>0</v>
      </c>
      <c r="G35" s="1">
        <v>0</v>
      </c>
      <c r="H35" s="1">
        <v>0</v>
      </c>
      <c r="I35" s="1">
        <v>0</v>
      </c>
    </row>
    <row r="36" spans="1:9" hidden="1" x14ac:dyDescent="0.2">
      <c r="A36" t="s">
        <v>18</v>
      </c>
      <c r="B36" t="s">
        <v>19</v>
      </c>
      <c r="C36" t="s">
        <v>49</v>
      </c>
      <c r="D36" t="s">
        <v>40</v>
      </c>
      <c r="E36" s="1" t="s">
        <v>42</v>
      </c>
      <c r="F36" s="1">
        <v>0</v>
      </c>
      <c r="G36" s="1">
        <v>0</v>
      </c>
      <c r="H36" s="1">
        <v>0</v>
      </c>
      <c r="I36" s="1">
        <v>0</v>
      </c>
    </row>
    <row r="37" spans="1:9" hidden="1" x14ac:dyDescent="0.2">
      <c r="A37" t="s">
        <v>13</v>
      </c>
      <c r="B37" t="s">
        <v>14</v>
      </c>
      <c r="C37" t="s">
        <v>49</v>
      </c>
      <c r="D37" t="s">
        <v>43</v>
      </c>
      <c r="E37" s="1" t="s">
        <v>42</v>
      </c>
      <c r="F37" s="1">
        <v>0</v>
      </c>
      <c r="G37" s="1">
        <v>0</v>
      </c>
      <c r="H37" s="1">
        <v>0</v>
      </c>
      <c r="I37" s="1">
        <v>0</v>
      </c>
    </row>
    <row r="38" spans="1:9" hidden="1" x14ac:dyDescent="0.2">
      <c r="A38" t="s">
        <v>13</v>
      </c>
      <c r="B38" t="s">
        <v>14</v>
      </c>
      <c r="C38" t="s">
        <v>49</v>
      </c>
      <c r="D38" t="s">
        <v>40</v>
      </c>
      <c r="E38" s="1" t="s">
        <v>42</v>
      </c>
      <c r="F38" s="1">
        <v>0</v>
      </c>
      <c r="G38" s="1">
        <v>0</v>
      </c>
      <c r="H38" s="1">
        <v>0</v>
      </c>
      <c r="I38" s="1">
        <v>0</v>
      </c>
    </row>
    <row r="39" spans="1:9" hidden="1" x14ac:dyDescent="0.2">
      <c r="A39" t="s">
        <v>15</v>
      </c>
      <c r="B39" t="s">
        <v>16</v>
      </c>
      <c r="C39" t="s">
        <v>49</v>
      </c>
      <c r="D39" t="s">
        <v>31</v>
      </c>
      <c r="E39" s="1">
        <v>750</v>
      </c>
      <c r="F39" s="1">
        <v>750</v>
      </c>
      <c r="G39" s="1">
        <v>0</v>
      </c>
      <c r="H39" s="1">
        <v>0</v>
      </c>
      <c r="I39" s="1">
        <v>0</v>
      </c>
    </row>
    <row r="40" spans="1:9" hidden="1" x14ac:dyDescent="0.2">
      <c r="A40" t="s">
        <v>15</v>
      </c>
      <c r="B40" t="s">
        <v>16</v>
      </c>
      <c r="C40" t="s">
        <v>49</v>
      </c>
      <c r="D40" t="s">
        <v>33</v>
      </c>
      <c r="E40" s="1">
        <v>750</v>
      </c>
      <c r="F40" s="1">
        <v>750</v>
      </c>
      <c r="G40" s="1">
        <v>0</v>
      </c>
      <c r="H40" s="1">
        <v>0</v>
      </c>
      <c r="I40" s="1">
        <v>0</v>
      </c>
    </row>
    <row r="41" spans="1:9" hidden="1" x14ac:dyDescent="0.2">
      <c r="A41" t="s">
        <v>15</v>
      </c>
      <c r="B41" t="s">
        <v>16</v>
      </c>
      <c r="C41" t="s">
        <v>51</v>
      </c>
      <c r="D41" t="s">
        <v>28</v>
      </c>
      <c r="E41" s="1">
        <v>750</v>
      </c>
      <c r="F41" s="1">
        <v>750</v>
      </c>
      <c r="G41" s="1">
        <v>0</v>
      </c>
      <c r="H41" s="1">
        <v>0</v>
      </c>
      <c r="I41" s="1">
        <v>0</v>
      </c>
    </row>
    <row r="42" spans="1:9" hidden="1" x14ac:dyDescent="0.2">
      <c r="A42" t="s">
        <v>9</v>
      </c>
      <c r="B42" t="s">
        <v>10</v>
      </c>
      <c r="C42" t="s">
        <v>51</v>
      </c>
      <c r="D42" t="s">
        <v>45</v>
      </c>
      <c r="E42" s="1" t="s">
        <v>42</v>
      </c>
      <c r="F42" s="1">
        <v>0</v>
      </c>
      <c r="G42" s="1">
        <v>0</v>
      </c>
      <c r="H42" s="1">
        <v>0</v>
      </c>
      <c r="I42" s="1">
        <v>0</v>
      </c>
    </row>
    <row r="43" spans="1:9" hidden="1" x14ac:dyDescent="0.2">
      <c r="A43" t="s">
        <v>9</v>
      </c>
      <c r="B43" t="s">
        <v>10</v>
      </c>
      <c r="C43" t="s">
        <v>11</v>
      </c>
      <c r="D43" t="s">
        <v>21</v>
      </c>
      <c r="E43" s="1">
        <v>270005</v>
      </c>
      <c r="F43" s="1">
        <v>5</v>
      </c>
      <c r="G43" s="1">
        <v>0</v>
      </c>
      <c r="H43" s="1">
        <v>270000</v>
      </c>
      <c r="I43" s="1">
        <v>0</v>
      </c>
    </row>
    <row r="44" spans="1:9" hidden="1" x14ac:dyDescent="0.2">
      <c r="A44" t="s">
        <v>18</v>
      </c>
      <c r="B44" t="s">
        <v>19</v>
      </c>
      <c r="C44" t="s">
        <v>51</v>
      </c>
      <c r="D44" t="s">
        <v>30</v>
      </c>
      <c r="E44" s="1" t="s">
        <v>42</v>
      </c>
      <c r="F44" s="1">
        <v>0</v>
      </c>
      <c r="G44" s="1">
        <v>0</v>
      </c>
      <c r="H44" s="1">
        <v>0</v>
      </c>
      <c r="I44" s="1">
        <v>0</v>
      </c>
    </row>
    <row r="45" spans="1:9" hidden="1" x14ac:dyDescent="0.2">
      <c r="A45" t="s">
        <v>18</v>
      </c>
      <c r="B45" t="s">
        <v>19</v>
      </c>
      <c r="C45" t="s">
        <v>51</v>
      </c>
      <c r="D45" t="s">
        <v>23</v>
      </c>
      <c r="E45" s="1" t="s">
        <v>42</v>
      </c>
      <c r="F45" s="1">
        <v>0</v>
      </c>
      <c r="G45" s="1">
        <v>0</v>
      </c>
      <c r="H45" s="1">
        <v>0</v>
      </c>
      <c r="I45" s="1">
        <v>0</v>
      </c>
    </row>
    <row r="46" spans="1:9" hidden="1" x14ac:dyDescent="0.2">
      <c r="A46" t="s">
        <v>18</v>
      </c>
      <c r="B46" t="s">
        <v>19</v>
      </c>
      <c r="C46" t="s">
        <v>51</v>
      </c>
      <c r="D46" t="s">
        <v>22</v>
      </c>
      <c r="E46" s="1" t="s">
        <v>42</v>
      </c>
      <c r="F46" s="1">
        <v>0</v>
      </c>
      <c r="G46" s="1">
        <v>0</v>
      </c>
      <c r="H46" s="1">
        <v>0</v>
      </c>
      <c r="I46" s="1">
        <v>0</v>
      </c>
    </row>
    <row r="47" spans="1:9" hidden="1" x14ac:dyDescent="0.2">
      <c r="A47" t="s">
        <v>18</v>
      </c>
      <c r="B47" t="s">
        <v>19</v>
      </c>
      <c r="C47" t="s">
        <v>51</v>
      </c>
      <c r="D47" t="s">
        <v>40</v>
      </c>
      <c r="E47" s="1" t="s">
        <v>42</v>
      </c>
      <c r="F47" s="1">
        <v>0</v>
      </c>
      <c r="G47" s="1">
        <v>0</v>
      </c>
      <c r="H47" s="1">
        <v>0</v>
      </c>
      <c r="I47" s="1">
        <v>0</v>
      </c>
    </row>
    <row r="48" spans="1:9" hidden="1" x14ac:dyDescent="0.2">
      <c r="A48" t="s">
        <v>13</v>
      </c>
      <c r="B48" t="s">
        <v>14</v>
      </c>
      <c r="C48" t="s">
        <v>51</v>
      </c>
      <c r="D48" t="s">
        <v>43</v>
      </c>
      <c r="E48" s="1" t="s">
        <v>42</v>
      </c>
      <c r="F48" s="1">
        <v>0</v>
      </c>
      <c r="G48" s="1">
        <v>0</v>
      </c>
      <c r="H48" s="1">
        <v>0</v>
      </c>
      <c r="I48" s="1">
        <v>0</v>
      </c>
    </row>
    <row r="49" spans="1:9" hidden="1" x14ac:dyDescent="0.2">
      <c r="A49" t="s">
        <v>13</v>
      </c>
      <c r="B49" t="s">
        <v>14</v>
      </c>
      <c r="C49" t="s">
        <v>51</v>
      </c>
      <c r="D49" t="s">
        <v>40</v>
      </c>
      <c r="E49" s="1" t="s">
        <v>42</v>
      </c>
      <c r="F49" s="1">
        <v>0</v>
      </c>
      <c r="G49" s="1">
        <v>0</v>
      </c>
      <c r="H49" s="1">
        <v>0</v>
      </c>
      <c r="I49" s="1">
        <v>0</v>
      </c>
    </row>
    <row r="50" spans="1:9" hidden="1" x14ac:dyDescent="0.2">
      <c r="A50" t="s">
        <v>15</v>
      </c>
      <c r="B50" t="s">
        <v>16</v>
      </c>
      <c r="C50" t="s">
        <v>52</v>
      </c>
      <c r="D50" t="s">
        <v>28</v>
      </c>
      <c r="E50" s="1">
        <v>750</v>
      </c>
      <c r="F50" s="1">
        <v>750</v>
      </c>
      <c r="G50" s="1">
        <v>0</v>
      </c>
      <c r="H50" s="1">
        <v>0</v>
      </c>
      <c r="I50" s="1">
        <v>0</v>
      </c>
    </row>
    <row r="51" spans="1:9" hidden="1" x14ac:dyDescent="0.2">
      <c r="A51" t="s">
        <v>15</v>
      </c>
      <c r="B51" t="s">
        <v>16</v>
      </c>
      <c r="C51" t="s">
        <v>52</v>
      </c>
      <c r="D51" t="s">
        <v>48</v>
      </c>
      <c r="E51" s="1">
        <v>750</v>
      </c>
      <c r="F51" s="1">
        <v>0</v>
      </c>
      <c r="G51" s="1">
        <v>0</v>
      </c>
      <c r="H51" s="1">
        <v>750</v>
      </c>
      <c r="I51" s="1">
        <v>0</v>
      </c>
    </row>
    <row r="52" spans="1:9" hidden="1" x14ac:dyDescent="0.2">
      <c r="A52" t="s">
        <v>15</v>
      </c>
      <c r="B52" t="s">
        <v>16</v>
      </c>
      <c r="C52" t="s">
        <v>52</v>
      </c>
      <c r="D52" t="s">
        <v>33</v>
      </c>
      <c r="E52" s="1">
        <v>750</v>
      </c>
      <c r="F52" s="1">
        <v>750</v>
      </c>
      <c r="G52" s="1">
        <v>0</v>
      </c>
      <c r="H52" s="1">
        <v>0</v>
      </c>
      <c r="I52" s="1">
        <v>0</v>
      </c>
    </row>
    <row r="53" spans="1:9" hidden="1" x14ac:dyDescent="0.2">
      <c r="A53" t="s">
        <v>9</v>
      </c>
      <c r="B53" t="s">
        <v>10</v>
      </c>
      <c r="C53" t="s">
        <v>52</v>
      </c>
      <c r="D53" t="s">
        <v>56</v>
      </c>
      <c r="E53" s="1" t="s">
        <v>42</v>
      </c>
      <c r="F53" s="1">
        <v>0</v>
      </c>
      <c r="G53" s="1">
        <v>0</v>
      </c>
      <c r="H53" s="1">
        <v>0</v>
      </c>
      <c r="I53" s="1">
        <v>0</v>
      </c>
    </row>
    <row r="54" spans="1:9" hidden="1" x14ac:dyDescent="0.2">
      <c r="A54" t="s">
        <v>9</v>
      </c>
      <c r="B54" t="s">
        <v>10</v>
      </c>
      <c r="C54" t="s">
        <v>52</v>
      </c>
      <c r="D54" t="s">
        <v>45</v>
      </c>
      <c r="E54" s="1" t="s">
        <v>42</v>
      </c>
      <c r="F54" s="1">
        <v>0</v>
      </c>
      <c r="G54" s="1">
        <v>0</v>
      </c>
      <c r="H54" s="1">
        <v>0</v>
      </c>
      <c r="I54" s="1">
        <v>0</v>
      </c>
    </row>
    <row r="55" spans="1:9" hidden="1" x14ac:dyDescent="0.2">
      <c r="A55" t="s">
        <v>18</v>
      </c>
      <c r="B55" t="s">
        <v>19</v>
      </c>
      <c r="C55" t="s">
        <v>52</v>
      </c>
      <c r="D55" t="s">
        <v>30</v>
      </c>
      <c r="E55" s="1" t="s">
        <v>42</v>
      </c>
      <c r="F55" s="1">
        <v>0</v>
      </c>
      <c r="G55" s="1">
        <v>0</v>
      </c>
      <c r="H55" s="1">
        <v>0</v>
      </c>
      <c r="I55" s="1">
        <v>0</v>
      </c>
    </row>
    <row r="56" spans="1:9" hidden="1" x14ac:dyDescent="0.2">
      <c r="A56" t="s">
        <v>18</v>
      </c>
      <c r="B56" t="s">
        <v>19</v>
      </c>
      <c r="C56" t="s">
        <v>52</v>
      </c>
      <c r="D56" t="s">
        <v>40</v>
      </c>
      <c r="E56" s="1" t="s">
        <v>42</v>
      </c>
      <c r="F56" s="1">
        <v>0</v>
      </c>
      <c r="G56" s="1">
        <v>0</v>
      </c>
      <c r="H56" s="1">
        <v>0</v>
      </c>
      <c r="I56" s="1">
        <v>0</v>
      </c>
    </row>
    <row r="57" spans="1:9" hidden="1" x14ac:dyDescent="0.2">
      <c r="A57" t="s">
        <v>13</v>
      </c>
      <c r="B57" t="s">
        <v>14</v>
      </c>
      <c r="C57" t="s">
        <v>52</v>
      </c>
      <c r="D57" t="s">
        <v>43</v>
      </c>
      <c r="E57" s="1" t="s">
        <v>42</v>
      </c>
      <c r="F57" s="1">
        <v>0</v>
      </c>
      <c r="G57" s="1">
        <v>0</v>
      </c>
      <c r="H57" s="1">
        <v>0</v>
      </c>
      <c r="I57" s="1">
        <v>0</v>
      </c>
    </row>
    <row r="58" spans="1:9" hidden="1" x14ac:dyDescent="0.2">
      <c r="A58" t="s">
        <v>13</v>
      </c>
      <c r="B58" t="s">
        <v>14</v>
      </c>
      <c r="C58" t="s">
        <v>52</v>
      </c>
      <c r="D58" t="s">
        <v>40</v>
      </c>
      <c r="E58" s="1" t="s">
        <v>42</v>
      </c>
      <c r="F58" s="1">
        <v>0</v>
      </c>
      <c r="G58" s="1">
        <v>0</v>
      </c>
      <c r="H58" s="1">
        <v>0</v>
      </c>
      <c r="I58" s="1">
        <v>0</v>
      </c>
    </row>
    <row r="59" spans="1:9" hidden="1" x14ac:dyDescent="0.2">
      <c r="A59" t="s">
        <v>15</v>
      </c>
      <c r="B59" t="s">
        <v>16</v>
      </c>
      <c r="C59" t="s">
        <v>57</v>
      </c>
      <c r="D59" t="s">
        <v>40</v>
      </c>
      <c r="E59" s="1">
        <v>750</v>
      </c>
      <c r="F59" s="1">
        <v>0</v>
      </c>
      <c r="G59" s="1">
        <v>0</v>
      </c>
      <c r="H59" s="1">
        <v>0</v>
      </c>
      <c r="I59" s="1">
        <v>750</v>
      </c>
    </row>
    <row r="60" spans="1:9" hidden="1" x14ac:dyDescent="0.2">
      <c r="A60" t="s">
        <v>15</v>
      </c>
      <c r="B60" t="s">
        <v>16</v>
      </c>
      <c r="C60" t="s">
        <v>46</v>
      </c>
      <c r="D60" t="s">
        <v>33</v>
      </c>
      <c r="E60" s="1">
        <v>755</v>
      </c>
      <c r="F60" s="1">
        <v>750</v>
      </c>
      <c r="G60" s="1">
        <v>0</v>
      </c>
      <c r="H60" s="1">
        <v>0</v>
      </c>
      <c r="I60" s="1">
        <v>5</v>
      </c>
    </row>
    <row r="61" spans="1:9" hidden="1" x14ac:dyDescent="0.2">
      <c r="A61" t="s">
        <v>9</v>
      </c>
      <c r="B61" t="s">
        <v>10</v>
      </c>
      <c r="C61" t="s">
        <v>57</v>
      </c>
      <c r="D61" t="s">
        <v>56</v>
      </c>
      <c r="E61" s="1" t="s">
        <v>42</v>
      </c>
      <c r="F61" s="1">
        <v>0</v>
      </c>
      <c r="G61" s="1">
        <v>0</v>
      </c>
      <c r="H61" s="1">
        <v>0</v>
      </c>
      <c r="I61" s="1">
        <v>0</v>
      </c>
    </row>
    <row r="62" spans="1:9" hidden="1" x14ac:dyDescent="0.2">
      <c r="A62" t="s">
        <v>9</v>
      </c>
      <c r="B62" t="s">
        <v>10</v>
      </c>
      <c r="C62" t="s">
        <v>57</v>
      </c>
      <c r="D62" t="s">
        <v>45</v>
      </c>
      <c r="E62" s="1" t="s">
        <v>42</v>
      </c>
      <c r="F62" s="1">
        <v>0</v>
      </c>
      <c r="G62" s="1">
        <v>0</v>
      </c>
      <c r="H62" s="1">
        <v>0</v>
      </c>
      <c r="I62" s="1">
        <v>0</v>
      </c>
    </row>
    <row r="63" spans="1:9" hidden="1" x14ac:dyDescent="0.2">
      <c r="A63" t="s">
        <v>18</v>
      </c>
      <c r="B63" t="s">
        <v>19</v>
      </c>
      <c r="C63" t="s">
        <v>57</v>
      </c>
      <c r="D63" t="s">
        <v>30</v>
      </c>
      <c r="E63" s="1" t="s">
        <v>42</v>
      </c>
      <c r="F63" s="1">
        <v>0</v>
      </c>
      <c r="G63" s="1">
        <v>0</v>
      </c>
      <c r="H63" s="1">
        <v>0</v>
      </c>
      <c r="I63" s="1">
        <v>0</v>
      </c>
    </row>
    <row r="64" spans="1:9" hidden="1" x14ac:dyDescent="0.2">
      <c r="A64" t="s">
        <v>18</v>
      </c>
      <c r="B64" t="s">
        <v>19</v>
      </c>
      <c r="C64" t="s">
        <v>57</v>
      </c>
      <c r="D64" t="s">
        <v>40</v>
      </c>
      <c r="E64" s="1" t="s">
        <v>42</v>
      </c>
      <c r="F64" s="1">
        <v>0</v>
      </c>
      <c r="G64" s="1">
        <v>0</v>
      </c>
      <c r="H64" s="1">
        <v>0</v>
      </c>
      <c r="I64" s="1">
        <v>0</v>
      </c>
    </row>
    <row r="65" spans="1:9" hidden="1" x14ac:dyDescent="0.2">
      <c r="A65" t="s">
        <v>13</v>
      </c>
      <c r="B65" t="s">
        <v>14</v>
      </c>
      <c r="C65" t="s">
        <v>57</v>
      </c>
      <c r="D65" t="s">
        <v>43</v>
      </c>
      <c r="E65" s="1" t="s">
        <v>42</v>
      </c>
      <c r="F65" s="1">
        <v>0</v>
      </c>
      <c r="G65" s="1">
        <v>0</v>
      </c>
      <c r="H65" s="1">
        <v>0</v>
      </c>
      <c r="I65" s="1">
        <v>0</v>
      </c>
    </row>
    <row r="66" spans="1:9" hidden="1" x14ac:dyDescent="0.2">
      <c r="A66" t="s">
        <v>13</v>
      </c>
      <c r="B66" t="s">
        <v>14</v>
      </c>
      <c r="C66" t="s">
        <v>57</v>
      </c>
      <c r="D66" t="s">
        <v>40</v>
      </c>
      <c r="E66" s="1" t="s">
        <v>42</v>
      </c>
      <c r="F66" s="1">
        <v>0</v>
      </c>
      <c r="G66" s="1">
        <v>0</v>
      </c>
      <c r="H66" s="1">
        <v>0</v>
      </c>
      <c r="I66" s="1">
        <v>0</v>
      </c>
    </row>
    <row r="67" spans="1:9" hidden="1" x14ac:dyDescent="0.2">
      <c r="A67" t="s">
        <v>13</v>
      </c>
      <c r="B67" t="s">
        <v>14</v>
      </c>
      <c r="C67" t="s">
        <v>57</v>
      </c>
      <c r="D67" t="s">
        <v>45</v>
      </c>
      <c r="E67" s="1" t="s">
        <v>42</v>
      </c>
      <c r="F67" s="1">
        <v>0</v>
      </c>
      <c r="G67" s="1">
        <v>0</v>
      </c>
      <c r="H67" s="1">
        <v>0</v>
      </c>
      <c r="I67" s="1">
        <v>0</v>
      </c>
    </row>
    <row r="68" spans="1:9" hidden="1" x14ac:dyDescent="0.2">
      <c r="A68" t="s">
        <v>15</v>
      </c>
      <c r="B68" t="s">
        <v>16</v>
      </c>
      <c r="C68" t="s">
        <v>51</v>
      </c>
      <c r="D68" t="s">
        <v>31</v>
      </c>
      <c r="E68" s="1">
        <v>755</v>
      </c>
      <c r="F68" s="1">
        <v>750</v>
      </c>
      <c r="G68" s="1">
        <v>0</v>
      </c>
      <c r="H68" s="1">
        <v>5</v>
      </c>
      <c r="I68" s="1">
        <v>0</v>
      </c>
    </row>
    <row r="69" spans="1:9" hidden="1" x14ac:dyDescent="0.2">
      <c r="A69" t="s">
        <v>15</v>
      </c>
      <c r="B69" t="s">
        <v>16</v>
      </c>
      <c r="C69" t="s">
        <v>51</v>
      </c>
      <c r="D69" t="s">
        <v>33</v>
      </c>
      <c r="E69" s="1">
        <v>755</v>
      </c>
      <c r="F69" s="1">
        <v>750</v>
      </c>
      <c r="G69" s="1">
        <v>0</v>
      </c>
      <c r="H69" s="1">
        <v>5</v>
      </c>
      <c r="I69" s="1">
        <v>0</v>
      </c>
    </row>
    <row r="70" spans="1:9" hidden="1" x14ac:dyDescent="0.2">
      <c r="A70" t="s">
        <v>15</v>
      </c>
      <c r="B70" t="s">
        <v>16</v>
      </c>
      <c r="C70" t="s">
        <v>57</v>
      </c>
      <c r="D70" t="s">
        <v>33</v>
      </c>
      <c r="E70" s="1">
        <v>755</v>
      </c>
      <c r="F70" s="1">
        <v>750</v>
      </c>
      <c r="G70" s="1">
        <v>0</v>
      </c>
      <c r="H70" s="1">
        <v>5</v>
      </c>
      <c r="I70" s="1">
        <v>0</v>
      </c>
    </row>
    <row r="71" spans="1:9" hidden="1" x14ac:dyDescent="0.2">
      <c r="A71" t="s">
        <v>15</v>
      </c>
      <c r="B71" t="s">
        <v>16</v>
      </c>
      <c r="C71" t="s">
        <v>11</v>
      </c>
      <c r="D71" t="s">
        <v>31</v>
      </c>
      <c r="E71" s="1">
        <v>1000</v>
      </c>
      <c r="F71" s="1">
        <v>1000</v>
      </c>
      <c r="G71" s="1">
        <v>0</v>
      </c>
      <c r="H71" s="1">
        <v>0</v>
      </c>
      <c r="I71" s="1">
        <v>0</v>
      </c>
    </row>
    <row r="72" spans="1:9" hidden="1" x14ac:dyDescent="0.2">
      <c r="A72" t="s">
        <v>15</v>
      </c>
      <c r="B72" t="s">
        <v>16</v>
      </c>
      <c r="C72" t="s">
        <v>65</v>
      </c>
      <c r="D72" t="s">
        <v>33</v>
      </c>
      <c r="E72" s="1">
        <v>1000</v>
      </c>
      <c r="F72" s="1">
        <v>1000</v>
      </c>
      <c r="G72" s="1">
        <v>0</v>
      </c>
      <c r="H72" s="1">
        <v>0</v>
      </c>
      <c r="I72" s="1">
        <v>0</v>
      </c>
    </row>
    <row r="73" spans="1:9" hidden="1" x14ac:dyDescent="0.2">
      <c r="A73" t="s">
        <v>9</v>
      </c>
      <c r="B73" t="s">
        <v>10</v>
      </c>
      <c r="C73" t="s">
        <v>61</v>
      </c>
      <c r="D73" t="s">
        <v>36</v>
      </c>
      <c r="E73" s="1" t="s">
        <v>42</v>
      </c>
      <c r="F73" s="1">
        <v>0</v>
      </c>
      <c r="G73" s="1">
        <v>0</v>
      </c>
      <c r="H73" s="1">
        <v>0</v>
      </c>
      <c r="I73" s="1">
        <v>0</v>
      </c>
    </row>
    <row r="74" spans="1:9" hidden="1" x14ac:dyDescent="0.2">
      <c r="A74" t="s">
        <v>9</v>
      </c>
      <c r="B74" t="s">
        <v>10</v>
      </c>
      <c r="C74" t="s">
        <v>61</v>
      </c>
      <c r="D74" t="s">
        <v>63</v>
      </c>
      <c r="E74" s="1" t="s">
        <v>42</v>
      </c>
      <c r="F74" s="1">
        <v>0</v>
      </c>
      <c r="G74" s="1">
        <v>0</v>
      </c>
      <c r="H74" s="1">
        <v>0</v>
      </c>
      <c r="I74" s="1">
        <v>0</v>
      </c>
    </row>
    <row r="75" spans="1:9" hidden="1" x14ac:dyDescent="0.2">
      <c r="A75" t="s">
        <v>9</v>
      </c>
      <c r="B75" t="s">
        <v>10</v>
      </c>
      <c r="C75" t="s">
        <v>61</v>
      </c>
      <c r="D75" t="s">
        <v>64</v>
      </c>
      <c r="E75" s="1" t="s">
        <v>42</v>
      </c>
      <c r="F75" s="1">
        <v>0</v>
      </c>
      <c r="G75" s="1">
        <v>0</v>
      </c>
      <c r="H75" s="1">
        <v>0</v>
      </c>
      <c r="I75" s="1">
        <v>0</v>
      </c>
    </row>
    <row r="76" spans="1:9" hidden="1" x14ac:dyDescent="0.2">
      <c r="A76" t="s">
        <v>9</v>
      </c>
      <c r="B76" t="s">
        <v>10</v>
      </c>
      <c r="C76" t="s">
        <v>61</v>
      </c>
      <c r="D76" t="s">
        <v>56</v>
      </c>
      <c r="E76" s="1" t="s">
        <v>42</v>
      </c>
      <c r="F76" s="1">
        <v>0</v>
      </c>
      <c r="G76" s="1">
        <v>0</v>
      </c>
      <c r="H76" s="1">
        <v>0</v>
      </c>
      <c r="I76" s="1">
        <v>0</v>
      </c>
    </row>
    <row r="77" spans="1:9" hidden="1" x14ac:dyDescent="0.2">
      <c r="A77" t="s">
        <v>9</v>
      </c>
      <c r="B77" t="s">
        <v>10</v>
      </c>
      <c r="C77" t="s">
        <v>61</v>
      </c>
      <c r="D77" t="s">
        <v>45</v>
      </c>
      <c r="E77" s="1" t="s">
        <v>42</v>
      </c>
      <c r="F77" s="1">
        <v>0</v>
      </c>
      <c r="G77" s="1">
        <v>0</v>
      </c>
      <c r="H77" s="1">
        <v>0</v>
      </c>
      <c r="I77" s="1">
        <v>0</v>
      </c>
    </row>
    <row r="78" spans="1:9" hidden="1" x14ac:dyDescent="0.2">
      <c r="A78" t="s">
        <v>18</v>
      </c>
      <c r="B78" t="s">
        <v>19</v>
      </c>
      <c r="C78" t="s">
        <v>61</v>
      </c>
      <c r="D78" t="s">
        <v>30</v>
      </c>
      <c r="E78" s="1" t="s">
        <v>42</v>
      </c>
      <c r="F78" s="1">
        <v>0</v>
      </c>
      <c r="G78" s="1">
        <v>0</v>
      </c>
      <c r="H78" s="1">
        <v>0</v>
      </c>
      <c r="I78" s="1">
        <v>0</v>
      </c>
    </row>
    <row r="79" spans="1:9" hidden="1" x14ac:dyDescent="0.2">
      <c r="A79" t="s">
        <v>18</v>
      </c>
      <c r="B79" t="s">
        <v>19</v>
      </c>
      <c r="C79" t="s">
        <v>61</v>
      </c>
      <c r="D79" t="s">
        <v>40</v>
      </c>
      <c r="E79" s="1" t="s">
        <v>42</v>
      </c>
      <c r="F79" s="1">
        <v>0</v>
      </c>
      <c r="G79" s="1">
        <v>0</v>
      </c>
      <c r="H79" s="1">
        <v>0</v>
      </c>
      <c r="I79" s="1">
        <v>0</v>
      </c>
    </row>
    <row r="80" spans="1:9" hidden="1" x14ac:dyDescent="0.2">
      <c r="A80" t="s">
        <v>13</v>
      </c>
      <c r="B80" t="s">
        <v>14</v>
      </c>
      <c r="C80" t="s">
        <v>61</v>
      </c>
      <c r="D80" t="s">
        <v>43</v>
      </c>
      <c r="E80" s="1" t="s">
        <v>42</v>
      </c>
      <c r="F80" s="1">
        <v>0</v>
      </c>
      <c r="G80" s="1">
        <v>0</v>
      </c>
      <c r="H80" s="1">
        <v>0</v>
      </c>
      <c r="I80" s="1">
        <v>0</v>
      </c>
    </row>
    <row r="81" spans="1:9" hidden="1" x14ac:dyDescent="0.2">
      <c r="A81" t="s">
        <v>13</v>
      </c>
      <c r="B81" t="s">
        <v>14</v>
      </c>
      <c r="C81" t="s">
        <v>61</v>
      </c>
      <c r="D81" t="s">
        <v>40</v>
      </c>
      <c r="E81" s="1" t="s">
        <v>42</v>
      </c>
      <c r="F81" s="1">
        <v>0</v>
      </c>
      <c r="G81" s="1">
        <v>0</v>
      </c>
      <c r="H81" s="1">
        <v>0</v>
      </c>
      <c r="I81" s="1">
        <v>0</v>
      </c>
    </row>
    <row r="82" spans="1:9" hidden="1" x14ac:dyDescent="0.2">
      <c r="A82" t="s">
        <v>15</v>
      </c>
      <c r="B82" t="s">
        <v>16</v>
      </c>
      <c r="C82" t="s">
        <v>46</v>
      </c>
      <c r="D82" t="s">
        <v>31</v>
      </c>
      <c r="E82" s="1">
        <v>1005</v>
      </c>
      <c r="F82" s="1">
        <v>1000</v>
      </c>
      <c r="G82" s="1">
        <v>0</v>
      </c>
      <c r="H82" s="1">
        <v>0</v>
      </c>
      <c r="I82" s="1">
        <v>5</v>
      </c>
    </row>
    <row r="83" spans="1:9" hidden="1" x14ac:dyDescent="0.2">
      <c r="A83" t="s">
        <v>15</v>
      </c>
      <c r="B83" t="s">
        <v>16</v>
      </c>
      <c r="C83" t="s">
        <v>61</v>
      </c>
      <c r="D83" t="s">
        <v>33</v>
      </c>
      <c r="E83" s="1">
        <v>1005</v>
      </c>
      <c r="F83" s="1">
        <v>1000</v>
      </c>
      <c r="G83" s="1">
        <v>0</v>
      </c>
      <c r="H83" s="1">
        <v>5</v>
      </c>
      <c r="I83" s="1">
        <v>0</v>
      </c>
    </row>
    <row r="84" spans="1:9" hidden="1" x14ac:dyDescent="0.2">
      <c r="A84" t="s">
        <v>15</v>
      </c>
      <c r="B84" t="s">
        <v>16</v>
      </c>
      <c r="C84" t="s">
        <v>69</v>
      </c>
      <c r="D84" t="s">
        <v>33</v>
      </c>
      <c r="E84" s="1">
        <v>1005</v>
      </c>
      <c r="F84" s="1">
        <v>1000</v>
      </c>
      <c r="G84" s="1">
        <v>0</v>
      </c>
      <c r="H84" s="1">
        <v>0</v>
      </c>
      <c r="I84" s="1">
        <v>5</v>
      </c>
    </row>
    <row r="85" spans="1:9" hidden="1" x14ac:dyDescent="0.2">
      <c r="A85" t="s">
        <v>15</v>
      </c>
      <c r="B85" t="s">
        <v>16</v>
      </c>
      <c r="C85" t="s">
        <v>67</v>
      </c>
      <c r="D85" t="s">
        <v>33</v>
      </c>
      <c r="E85" s="1">
        <v>1015</v>
      </c>
      <c r="F85" s="1">
        <v>1000</v>
      </c>
      <c r="G85" s="1">
        <v>0</v>
      </c>
      <c r="H85" s="1">
        <v>5</v>
      </c>
      <c r="I85" s="1">
        <v>10</v>
      </c>
    </row>
    <row r="86" spans="1:9" hidden="1" x14ac:dyDescent="0.2">
      <c r="A86" t="s">
        <v>15</v>
      </c>
      <c r="B86" t="s">
        <v>16</v>
      </c>
      <c r="C86" t="s">
        <v>52</v>
      </c>
      <c r="D86" t="s">
        <v>31</v>
      </c>
      <c r="E86" s="1">
        <v>1100</v>
      </c>
      <c r="F86" s="1">
        <v>1100</v>
      </c>
      <c r="G86" s="1">
        <v>0</v>
      </c>
      <c r="H86" s="1">
        <v>0</v>
      </c>
      <c r="I86" s="1">
        <v>0</v>
      </c>
    </row>
    <row r="87" spans="1:9" hidden="1" x14ac:dyDescent="0.2">
      <c r="A87" t="s">
        <v>9</v>
      </c>
      <c r="B87" t="s">
        <v>10</v>
      </c>
      <c r="C87" t="s">
        <v>65</v>
      </c>
      <c r="D87" t="s">
        <v>56</v>
      </c>
      <c r="E87" s="1" t="s">
        <v>42</v>
      </c>
      <c r="F87" s="1">
        <v>0</v>
      </c>
      <c r="G87" s="1">
        <v>0</v>
      </c>
      <c r="H87" s="1">
        <v>0</v>
      </c>
      <c r="I87" s="1">
        <v>0</v>
      </c>
    </row>
    <row r="88" spans="1:9" hidden="1" x14ac:dyDescent="0.2">
      <c r="A88" t="s">
        <v>9</v>
      </c>
      <c r="B88" t="s">
        <v>10</v>
      </c>
      <c r="C88" t="s">
        <v>65</v>
      </c>
      <c r="D88" t="s">
        <v>45</v>
      </c>
      <c r="E88" s="1" t="s">
        <v>42</v>
      </c>
      <c r="F88" s="1">
        <v>0</v>
      </c>
      <c r="G88" s="1">
        <v>0</v>
      </c>
      <c r="H88" s="1">
        <v>0</v>
      </c>
      <c r="I88" s="1">
        <v>0</v>
      </c>
    </row>
    <row r="89" spans="1:9" hidden="1" x14ac:dyDescent="0.2">
      <c r="A89" t="s">
        <v>18</v>
      </c>
      <c r="B89" t="s">
        <v>19</v>
      </c>
      <c r="C89" t="s">
        <v>65</v>
      </c>
      <c r="D89" t="s">
        <v>30</v>
      </c>
      <c r="E89" s="1" t="s">
        <v>42</v>
      </c>
      <c r="F89" s="1">
        <v>0</v>
      </c>
      <c r="G89" s="1">
        <v>0</v>
      </c>
      <c r="H89" s="1">
        <v>0</v>
      </c>
      <c r="I89" s="1">
        <v>0</v>
      </c>
    </row>
    <row r="90" spans="1:9" hidden="1" x14ac:dyDescent="0.2">
      <c r="A90" t="s">
        <v>18</v>
      </c>
      <c r="B90" t="s">
        <v>19</v>
      </c>
      <c r="C90" t="s">
        <v>65</v>
      </c>
      <c r="D90" t="s">
        <v>40</v>
      </c>
      <c r="E90" s="1" t="s">
        <v>42</v>
      </c>
      <c r="F90" s="1">
        <v>0</v>
      </c>
      <c r="G90" s="1">
        <v>0</v>
      </c>
      <c r="H90" s="1">
        <v>0</v>
      </c>
      <c r="I90" s="1">
        <v>0</v>
      </c>
    </row>
    <row r="91" spans="1:9" hidden="1" x14ac:dyDescent="0.2">
      <c r="A91" t="s">
        <v>13</v>
      </c>
      <c r="B91" t="s">
        <v>14</v>
      </c>
      <c r="C91" t="s">
        <v>65</v>
      </c>
      <c r="D91" t="s">
        <v>66</v>
      </c>
      <c r="E91" s="1" t="s">
        <v>42</v>
      </c>
      <c r="F91" s="1">
        <v>0</v>
      </c>
      <c r="G91" s="1">
        <v>0</v>
      </c>
      <c r="H91" s="1">
        <v>0</v>
      </c>
      <c r="I91" s="1">
        <v>0</v>
      </c>
    </row>
    <row r="92" spans="1:9" hidden="1" x14ac:dyDescent="0.2">
      <c r="A92" t="s">
        <v>15</v>
      </c>
      <c r="B92" t="s">
        <v>16</v>
      </c>
      <c r="C92" t="s">
        <v>69</v>
      </c>
      <c r="D92" t="s">
        <v>29</v>
      </c>
      <c r="E92" s="1">
        <v>1255</v>
      </c>
      <c r="F92" s="1">
        <v>5</v>
      </c>
      <c r="G92" s="1">
        <v>0</v>
      </c>
      <c r="H92" s="1">
        <v>0</v>
      </c>
      <c r="I92" s="1">
        <v>1250</v>
      </c>
    </row>
    <row r="93" spans="1:9" hidden="1" x14ac:dyDescent="0.2">
      <c r="A93" t="s">
        <v>15</v>
      </c>
      <c r="B93" t="s">
        <v>16</v>
      </c>
      <c r="C93" t="s">
        <v>57</v>
      </c>
      <c r="D93" t="s">
        <v>31</v>
      </c>
      <c r="E93" s="1">
        <v>1455</v>
      </c>
      <c r="F93" s="1">
        <v>1200</v>
      </c>
      <c r="G93" s="1">
        <v>0</v>
      </c>
      <c r="H93" s="1">
        <v>5</v>
      </c>
      <c r="I93" s="1">
        <v>250</v>
      </c>
    </row>
    <row r="94" spans="1:9" hidden="1" x14ac:dyDescent="0.2">
      <c r="A94" t="s">
        <v>15</v>
      </c>
      <c r="B94" t="s">
        <v>16</v>
      </c>
      <c r="C94" t="s">
        <v>49</v>
      </c>
      <c r="D94" t="s">
        <v>32</v>
      </c>
      <c r="E94" s="1">
        <v>1500</v>
      </c>
      <c r="F94" s="1">
        <v>1500</v>
      </c>
      <c r="G94" s="1">
        <v>0</v>
      </c>
      <c r="H94" s="1">
        <v>0</v>
      </c>
      <c r="I94" s="1">
        <v>0</v>
      </c>
    </row>
    <row r="95" spans="1:9" hidden="1" x14ac:dyDescent="0.2">
      <c r="A95" t="s">
        <v>15</v>
      </c>
      <c r="B95" t="s">
        <v>16</v>
      </c>
      <c r="C95" t="s">
        <v>57</v>
      </c>
      <c r="D95" t="s">
        <v>28</v>
      </c>
      <c r="E95" s="1">
        <v>1550</v>
      </c>
      <c r="F95" s="1">
        <v>1550</v>
      </c>
      <c r="G95" s="1">
        <v>0</v>
      </c>
      <c r="H95" s="1">
        <v>0</v>
      </c>
      <c r="I95" s="1">
        <v>0</v>
      </c>
    </row>
    <row r="96" spans="1:9" hidden="1" x14ac:dyDescent="0.2">
      <c r="A96" t="s">
        <v>15</v>
      </c>
      <c r="B96" t="s">
        <v>16</v>
      </c>
      <c r="C96" t="s">
        <v>67</v>
      </c>
      <c r="D96" t="s">
        <v>31</v>
      </c>
      <c r="E96" s="1">
        <v>1565</v>
      </c>
      <c r="F96" s="1">
        <v>1550</v>
      </c>
      <c r="G96" s="1">
        <v>0</v>
      </c>
      <c r="H96" s="1">
        <v>5</v>
      </c>
      <c r="I96" s="1">
        <v>10</v>
      </c>
    </row>
    <row r="97" spans="1:9" hidden="1" x14ac:dyDescent="0.2">
      <c r="A97" t="s">
        <v>15</v>
      </c>
      <c r="B97" t="s">
        <v>16</v>
      </c>
      <c r="C97" t="s">
        <v>51</v>
      </c>
      <c r="D97" t="s">
        <v>32</v>
      </c>
      <c r="E97" s="1">
        <v>1600</v>
      </c>
      <c r="F97" s="1">
        <v>1600</v>
      </c>
      <c r="G97" s="1">
        <v>0</v>
      </c>
      <c r="H97" s="1">
        <v>0</v>
      </c>
      <c r="I97" s="1">
        <v>0</v>
      </c>
    </row>
    <row r="98" spans="1:9" hidden="1" x14ac:dyDescent="0.2">
      <c r="A98" t="s">
        <v>9</v>
      </c>
      <c r="B98" t="s">
        <v>10</v>
      </c>
      <c r="C98" t="s">
        <v>67</v>
      </c>
      <c r="D98" t="s">
        <v>56</v>
      </c>
      <c r="E98" s="1" t="s">
        <v>42</v>
      </c>
      <c r="F98" s="1">
        <v>0</v>
      </c>
      <c r="G98" s="1">
        <v>0</v>
      </c>
      <c r="H98" s="1">
        <v>0</v>
      </c>
      <c r="I98" s="1">
        <v>0</v>
      </c>
    </row>
    <row r="99" spans="1:9" hidden="1" x14ac:dyDescent="0.2">
      <c r="A99" t="s">
        <v>9</v>
      </c>
      <c r="B99" t="s">
        <v>10</v>
      </c>
      <c r="C99" t="s">
        <v>67</v>
      </c>
      <c r="D99" t="s">
        <v>45</v>
      </c>
      <c r="E99" s="1" t="s">
        <v>42</v>
      </c>
      <c r="F99" s="1">
        <v>0</v>
      </c>
      <c r="G99" s="1">
        <v>0</v>
      </c>
      <c r="H99" s="1">
        <v>0</v>
      </c>
      <c r="I99" s="1">
        <v>0</v>
      </c>
    </row>
    <row r="100" spans="1:9" hidden="1" x14ac:dyDescent="0.2">
      <c r="A100" t="s">
        <v>18</v>
      </c>
      <c r="B100" t="s">
        <v>19</v>
      </c>
      <c r="C100" t="s">
        <v>67</v>
      </c>
      <c r="D100" t="s">
        <v>30</v>
      </c>
      <c r="E100" s="1" t="s">
        <v>42</v>
      </c>
      <c r="F100" s="1">
        <v>0</v>
      </c>
      <c r="G100" s="1">
        <v>0</v>
      </c>
      <c r="H100" s="1">
        <v>0</v>
      </c>
      <c r="I100" s="1">
        <v>0</v>
      </c>
    </row>
    <row r="101" spans="1:9" hidden="1" x14ac:dyDescent="0.2">
      <c r="A101" t="s">
        <v>18</v>
      </c>
      <c r="B101" t="s">
        <v>19</v>
      </c>
      <c r="C101" t="s">
        <v>67</v>
      </c>
      <c r="D101" t="s">
        <v>40</v>
      </c>
      <c r="E101" s="1" t="s">
        <v>42</v>
      </c>
      <c r="F101" s="1">
        <v>0</v>
      </c>
      <c r="G101" s="1">
        <v>0</v>
      </c>
      <c r="H101" s="1">
        <v>0</v>
      </c>
      <c r="I101" s="1">
        <v>0</v>
      </c>
    </row>
    <row r="102" spans="1:9" hidden="1" x14ac:dyDescent="0.2">
      <c r="A102" t="s">
        <v>18</v>
      </c>
      <c r="B102" t="s">
        <v>19</v>
      </c>
      <c r="C102" t="s">
        <v>67</v>
      </c>
      <c r="D102" t="s">
        <v>56</v>
      </c>
      <c r="E102" s="1" t="s">
        <v>42</v>
      </c>
      <c r="F102" s="1">
        <v>0</v>
      </c>
      <c r="G102" s="1">
        <v>0</v>
      </c>
      <c r="H102" s="1">
        <v>0</v>
      </c>
      <c r="I102" s="1">
        <v>0</v>
      </c>
    </row>
    <row r="103" spans="1:9" hidden="1" x14ac:dyDescent="0.2">
      <c r="A103" t="s">
        <v>13</v>
      </c>
      <c r="B103" t="s">
        <v>14</v>
      </c>
      <c r="C103" t="s">
        <v>67</v>
      </c>
      <c r="D103" t="s">
        <v>40</v>
      </c>
      <c r="E103" s="1" t="s">
        <v>42</v>
      </c>
      <c r="F103" s="1">
        <v>0</v>
      </c>
      <c r="G103" s="1">
        <v>0</v>
      </c>
      <c r="H103" s="1">
        <v>0</v>
      </c>
      <c r="I103" s="1">
        <v>0</v>
      </c>
    </row>
    <row r="104" spans="1:9" hidden="1" x14ac:dyDescent="0.2">
      <c r="A104" t="s">
        <v>13</v>
      </c>
      <c r="B104" t="s">
        <v>14</v>
      </c>
      <c r="C104" t="s">
        <v>67</v>
      </c>
      <c r="D104" t="s">
        <v>45</v>
      </c>
      <c r="E104" s="1" t="s">
        <v>42</v>
      </c>
      <c r="F104" s="1">
        <v>0</v>
      </c>
      <c r="G104" s="1">
        <v>0</v>
      </c>
      <c r="H104" s="1">
        <v>0</v>
      </c>
      <c r="I104" s="1">
        <v>0</v>
      </c>
    </row>
    <row r="105" spans="1:9" hidden="1" x14ac:dyDescent="0.2">
      <c r="A105" t="s">
        <v>15</v>
      </c>
      <c r="B105" t="s">
        <v>16</v>
      </c>
      <c r="C105" t="s">
        <v>69</v>
      </c>
      <c r="D105" t="s">
        <v>28</v>
      </c>
      <c r="E105" s="1">
        <v>1650</v>
      </c>
      <c r="F105" s="1">
        <v>1650</v>
      </c>
      <c r="G105" s="1">
        <v>0</v>
      </c>
      <c r="H105" s="1">
        <v>0</v>
      </c>
      <c r="I105" s="1">
        <v>0</v>
      </c>
    </row>
    <row r="106" spans="1:9" hidden="1" x14ac:dyDescent="0.2">
      <c r="A106" t="s">
        <v>15</v>
      </c>
      <c r="B106" t="s">
        <v>16</v>
      </c>
      <c r="C106" t="s">
        <v>65</v>
      </c>
      <c r="D106" t="s">
        <v>31</v>
      </c>
      <c r="E106" s="1">
        <v>1700</v>
      </c>
      <c r="F106" s="1">
        <v>1450</v>
      </c>
      <c r="G106" s="1">
        <v>0</v>
      </c>
      <c r="H106" s="1">
        <v>0</v>
      </c>
      <c r="I106" s="1">
        <v>250</v>
      </c>
    </row>
    <row r="107" spans="1:9" hidden="1" x14ac:dyDescent="0.2">
      <c r="A107" t="s">
        <v>15</v>
      </c>
      <c r="B107" t="s">
        <v>16</v>
      </c>
      <c r="C107" t="s">
        <v>11</v>
      </c>
      <c r="D107" t="s">
        <v>32</v>
      </c>
      <c r="E107" s="1">
        <v>1800</v>
      </c>
      <c r="F107" s="1">
        <v>1800</v>
      </c>
      <c r="G107" s="1">
        <v>0</v>
      </c>
      <c r="H107" s="1">
        <v>0</v>
      </c>
      <c r="I107" s="1">
        <v>0</v>
      </c>
    </row>
    <row r="108" spans="1:9" hidden="1" x14ac:dyDescent="0.2">
      <c r="A108" t="s">
        <v>15</v>
      </c>
      <c r="B108" t="s">
        <v>16</v>
      </c>
      <c r="C108" t="s">
        <v>46</v>
      </c>
      <c r="D108" t="s">
        <v>32</v>
      </c>
      <c r="E108" s="1">
        <v>1800</v>
      </c>
      <c r="F108" s="1">
        <v>1800</v>
      </c>
      <c r="G108" s="1">
        <v>0</v>
      </c>
      <c r="H108" s="1">
        <v>0</v>
      </c>
      <c r="I108" s="1">
        <v>0</v>
      </c>
    </row>
    <row r="109" spans="1:9" hidden="1" x14ac:dyDescent="0.2">
      <c r="A109" t="s">
        <v>15</v>
      </c>
      <c r="B109" t="s">
        <v>16</v>
      </c>
      <c r="C109" t="s">
        <v>52</v>
      </c>
      <c r="D109" t="s">
        <v>32</v>
      </c>
      <c r="E109" s="1">
        <v>1800</v>
      </c>
      <c r="F109" s="1">
        <v>1800</v>
      </c>
      <c r="G109" s="1">
        <v>0</v>
      </c>
      <c r="H109" s="1">
        <v>0</v>
      </c>
      <c r="I109" s="1">
        <v>0</v>
      </c>
    </row>
    <row r="110" spans="1:9" hidden="1" x14ac:dyDescent="0.2">
      <c r="A110" t="s">
        <v>15</v>
      </c>
      <c r="B110" t="s">
        <v>16</v>
      </c>
      <c r="C110" t="s">
        <v>61</v>
      </c>
      <c r="D110" t="s">
        <v>31</v>
      </c>
      <c r="E110" s="1">
        <v>1805</v>
      </c>
      <c r="F110" s="1">
        <v>1550</v>
      </c>
      <c r="G110" s="1">
        <v>0</v>
      </c>
      <c r="H110" s="1">
        <v>5</v>
      </c>
      <c r="I110" s="1">
        <v>250</v>
      </c>
    </row>
    <row r="111" spans="1:9" hidden="1" x14ac:dyDescent="0.2">
      <c r="A111" t="s">
        <v>15</v>
      </c>
      <c r="B111" t="s">
        <v>16</v>
      </c>
      <c r="C111" t="s">
        <v>57</v>
      </c>
      <c r="D111" t="s">
        <v>32</v>
      </c>
      <c r="E111" s="1">
        <v>1905</v>
      </c>
      <c r="F111" s="1">
        <v>1900</v>
      </c>
      <c r="G111" s="1">
        <v>0</v>
      </c>
      <c r="H111" s="1">
        <v>5</v>
      </c>
      <c r="I111" s="1">
        <v>0</v>
      </c>
    </row>
    <row r="112" spans="1:9" hidden="1" x14ac:dyDescent="0.2">
      <c r="A112" t="s">
        <v>9</v>
      </c>
      <c r="B112" t="s">
        <v>10</v>
      </c>
      <c r="C112" t="s">
        <v>69</v>
      </c>
      <c r="D112" t="s">
        <v>56</v>
      </c>
      <c r="E112" s="1" t="s">
        <v>42</v>
      </c>
      <c r="F112" s="1">
        <v>0</v>
      </c>
      <c r="G112" s="1">
        <v>0</v>
      </c>
      <c r="H112" s="1">
        <v>0</v>
      </c>
      <c r="I112" s="1">
        <v>0</v>
      </c>
    </row>
    <row r="113" spans="1:9" hidden="1" x14ac:dyDescent="0.2">
      <c r="A113" t="s">
        <v>9</v>
      </c>
      <c r="B113" t="s">
        <v>10</v>
      </c>
      <c r="C113" t="s">
        <v>69</v>
      </c>
      <c r="D113" t="s">
        <v>45</v>
      </c>
      <c r="E113" s="1" t="s">
        <v>42</v>
      </c>
      <c r="F113" s="1">
        <v>0</v>
      </c>
      <c r="G113" s="1">
        <v>0</v>
      </c>
      <c r="H113" s="1">
        <v>0</v>
      </c>
      <c r="I113" s="1">
        <v>0</v>
      </c>
    </row>
    <row r="114" spans="1:9" hidden="1" x14ac:dyDescent="0.2">
      <c r="A114" t="s">
        <v>18</v>
      </c>
      <c r="B114" t="s">
        <v>19</v>
      </c>
      <c r="C114" t="s">
        <v>69</v>
      </c>
      <c r="D114" t="s">
        <v>30</v>
      </c>
      <c r="E114" s="1" t="s">
        <v>42</v>
      </c>
      <c r="F114" s="1">
        <v>0</v>
      </c>
      <c r="G114" s="1">
        <v>0</v>
      </c>
      <c r="H114" s="1">
        <v>0</v>
      </c>
      <c r="I114" s="1">
        <v>0</v>
      </c>
    </row>
    <row r="115" spans="1:9" hidden="1" x14ac:dyDescent="0.2">
      <c r="A115" t="s">
        <v>18</v>
      </c>
      <c r="B115" t="s">
        <v>19</v>
      </c>
      <c r="C115" t="s">
        <v>69</v>
      </c>
      <c r="D115" t="s">
        <v>40</v>
      </c>
      <c r="E115" s="1" t="s">
        <v>42</v>
      </c>
      <c r="F115" s="1">
        <v>0</v>
      </c>
      <c r="G115" s="1">
        <v>0</v>
      </c>
      <c r="H115" s="1">
        <v>0</v>
      </c>
      <c r="I115" s="1">
        <v>0</v>
      </c>
    </row>
    <row r="116" spans="1:9" hidden="1" x14ac:dyDescent="0.2">
      <c r="A116" t="s">
        <v>18</v>
      </c>
      <c r="B116" t="s">
        <v>19</v>
      </c>
      <c r="C116" t="s">
        <v>69</v>
      </c>
      <c r="D116" t="s">
        <v>56</v>
      </c>
      <c r="E116" s="1" t="s">
        <v>42</v>
      </c>
      <c r="F116" s="1">
        <v>0</v>
      </c>
      <c r="G116" s="1">
        <v>0</v>
      </c>
      <c r="H116" s="1">
        <v>0</v>
      </c>
      <c r="I116" s="1">
        <v>0</v>
      </c>
    </row>
    <row r="117" spans="1:9" hidden="1" x14ac:dyDescent="0.2">
      <c r="A117" t="s">
        <v>13</v>
      </c>
      <c r="B117" t="s">
        <v>14</v>
      </c>
      <c r="C117" t="s">
        <v>69</v>
      </c>
      <c r="D117" t="s">
        <v>40</v>
      </c>
      <c r="E117" s="1" t="s">
        <v>42</v>
      </c>
      <c r="F117" s="1">
        <v>0</v>
      </c>
      <c r="G117" s="1">
        <v>0</v>
      </c>
      <c r="H117" s="1">
        <v>0</v>
      </c>
      <c r="I117" s="1">
        <v>0</v>
      </c>
    </row>
    <row r="118" spans="1:9" hidden="1" x14ac:dyDescent="0.2">
      <c r="A118" t="s">
        <v>15</v>
      </c>
      <c r="B118" t="s">
        <v>16</v>
      </c>
      <c r="C118" t="s">
        <v>61</v>
      </c>
      <c r="D118" t="s">
        <v>28</v>
      </c>
      <c r="E118" s="1">
        <v>1950</v>
      </c>
      <c r="F118" s="1">
        <v>1950</v>
      </c>
      <c r="G118" s="1">
        <v>0</v>
      </c>
      <c r="H118" s="1">
        <v>0</v>
      </c>
      <c r="I118" s="1">
        <v>0</v>
      </c>
    </row>
    <row r="119" spans="1:9" hidden="1" x14ac:dyDescent="0.2">
      <c r="A119" t="s">
        <v>15</v>
      </c>
      <c r="B119" t="s">
        <v>16</v>
      </c>
      <c r="C119" t="s">
        <v>69</v>
      </c>
      <c r="D119" t="s">
        <v>31</v>
      </c>
      <c r="E119" s="1">
        <v>1955</v>
      </c>
      <c r="F119" s="1">
        <v>1950</v>
      </c>
      <c r="G119" s="1">
        <v>0</v>
      </c>
      <c r="H119" s="1">
        <v>0</v>
      </c>
      <c r="I119" s="1">
        <v>5</v>
      </c>
    </row>
    <row r="120" spans="1:9" hidden="1" x14ac:dyDescent="0.2">
      <c r="A120" t="s">
        <v>15</v>
      </c>
      <c r="B120" t="s">
        <v>16</v>
      </c>
      <c r="C120" t="s">
        <v>65</v>
      </c>
      <c r="D120" t="s">
        <v>32</v>
      </c>
      <c r="E120" s="1">
        <v>2050</v>
      </c>
      <c r="F120" s="1">
        <v>2050</v>
      </c>
      <c r="G120" s="1">
        <v>0</v>
      </c>
      <c r="H120" s="1">
        <v>0</v>
      </c>
      <c r="I120" s="1">
        <v>0</v>
      </c>
    </row>
    <row r="121" spans="1:9" hidden="1" x14ac:dyDescent="0.2">
      <c r="A121" t="s">
        <v>15</v>
      </c>
      <c r="B121" t="s">
        <v>16</v>
      </c>
      <c r="C121" t="s">
        <v>67</v>
      </c>
      <c r="D121" t="s">
        <v>28</v>
      </c>
      <c r="E121" s="1">
        <v>2050</v>
      </c>
      <c r="F121" s="1">
        <v>2050</v>
      </c>
      <c r="G121" s="1">
        <v>0</v>
      </c>
      <c r="H121" s="1">
        <v>0</v>
      </c>
      <c r="I121" s="1">
        <v>0</v>
      </c>
    </row>
    <row r="122" spans="1:9" hidden="1" x14ac:dyDescent="0.2">
      <c r="A122" t="s">
        <v>15</v>
      </c>
      <c r="B122" t="s">
        <v>16</v>
      </c>
      <c r="C122" t="s">
        <v>61</v>
      </c>
      <c r="D122" t="s">
        <v>32</v>
      </c>
      <c r="E122" s="1">
        <v>2250</v>
      </c>
      <c r="F122" s="1">
        <v>2250</v>
      </c>
      <c r="G122" s="1">
        <v>0</v>
      </c>
      <c r="H122" s="1">
        <v>0</v>
      </c>
      <c r="I122" s="1">
        <v>0</v>
      </c>
    </row>
    <row r="123" spans="1:9" hidden="1" x14ac:dyDescent="0.2">
      <c r="A123" t="s">
        <v>15</v>
      </c>
      <c r="B123" t="s">
        <v>16</v>
      </c>
      <c r="C123" t="s">
        <v>67</v>
      </c>
      <c r="D123" t="s">
        <v>32</v>
      </c>
      <c r="E123" s="1">
        <v>2260</v>
      </c>
      <c r="F123" s="1">
        <v>2250</v>
      </c>
      <c r="G123" s="1">
        <v>0</v>
      </c>
      <c r="H123" s="1">
        <v>5</v>
      </c>
      <c r="I123" s="1">
        <v>5</v>
      </c>
    </row>
    <row r="124" spans="1:9" hidden="1" x14ac:dyDescent="0.2">
      <c r="A124" t="s">
        <v>15</v>
      </c>
      <c r="B124" t="s">
        <v>16</v>
      </c>
      <c r="C124" t="s">
        <v>65</v>
      </c>
      <c r="D124" t="s">
        <v>28</v>
      </c>
      <c r="E124" s="1">
        <v>2450</v>
      </c>
      <c r="F124" s="1">
        <v>2450</v>
      </c>
      <c r="G124" s="1">
        <v>0</v>
      </c>
      <c r="H124" s="1">
        <v>0</v>
      </c>
      <c r="I124" s="1">
        <v>0</v>
      </c>
    </row>
    <row r="125" spans="1:9" hidden="1" x14ac:dyDescent="0.2">
      <c r="A125" t="s">
        <v>15</v>
      </c>
      <c r="B125" t="s">
        <v>16</v>
      </c>
      <c r="C125" t="s">
        <v>69</v>
      </c>
      <c r="D125" t="s">
        <v>32</v>
      </c>
      <c r="E125" s="1">
        <v>2550</v>
      </c>
      <c r="F125" s="1">
        <v>2550</v>
      </c>
      <c r="G125" s="1">
        <v>0</v>
      </c>
      <c r="H125" s="1">
        <v>0</v>
      </c>
      <c r="I125" s="1">
        <v>0</v>
      </c>
    </row>
    <row r="126" spans="1:9" hidden="1" x14ac:dyDescent="0.2">
      <c r="A126" t="s">
        <v>9</v>
      </c>
      <c r="B126" t="s">
        <v>10</v>
      </c>
      <c r="C126" t="s">
        <v>52</v>
      </c>
      <c r="D126" t="s">
        <v>24</v>
      </c>
      <c r="E126" s="1">
        <v>4100755</v>
      </c>
      <c r="F126" s="1">
        <v>500</v>
      </c>
      <c r="G126" s="1">
        <v>0</v>
      </c>
      <c r="H126" s="1">
        <v>4100000</v>
      </c>
      <c r="I126" s="1">
        <v>255</v>
      </c>
    </row>
    <row r="127" spans="1:9" hidden="1" x14ac:dyDescent="0.2">
      <c r="A127" t="s">
        <v>15</v>
      </c>
      <c r="B127" t="s">
        <v>16</v>
      </c>
      <c r="C127" t="s">
        <v>51</v>
      </c>
      <c r="D127" t="s">
        <v>25</v>
      </c>
      <c r="E127" s="1">
        <v>4500</v>
      </c>
      <c r="F127" s="1">
        <v>4500</v>
      </c>
      <c r="G127" s="1">
        <v>0</v>
      </c>
      <c r="H127" s="1">
        <v>0</v>
      </c>
      <c r="I127" s="1">
        <v>0</v>
      </c>
    </row>
    <row r="128" spans="1:9" hidden="1" x14ac:dyDescent="0.2">
      <c r="A128" t="s">
        <v>15</v>
      </c>
      <c r="B128" t="s">
        <v>16</v>
      </c>
      <c r="C128" t="s">
        <v>52</v>
      </c>
      <c r="D128" t="s">
        <v>25</v>
      </c>
      <c r="E128" s="1">
        <v>4700</v>
      </c>
      <c r="F128" s="1">
        <v>4700</v>
      </c>
      <c r="G128" s="1">
        <v>0</v>
      </c>
      <c r="H128" s="1">
        <v>0</v>
      </c>
      <c r="I128" s="1">
        <v>0</v>
      </c>
    </row>
    <row r="129" spans="1:9" hidden="1" x14ac:dyDescent="0.2">
      <c r="A129" t="s">
        <v>9</v>
      </c>
      <c r="B129" t="s">
        <v>10</v>
      </c>
      <c r="C129" t="s">
        <v>51</v>
      </c>
      <c r="D129" t="s">
        <v>12</v>
      </c>
      <c r="E129" s="1">
        <v>7380516.2999999998</v>
      </c>
      <c r="F129" s="1">
        <v>1223.9000000000001</v>
      </c>
      <c r="G129" s="1">
        <v>0</v>
      </c>
      <c r="H129" s="1">
        <v>7378900</v>
      </c>
      <c r="I129" s="1">
        <v>392.4</v>
      </c>
    </row>
    <row r="130" spans="1:9" hidden="1" x14ac:dyDescent="0.2">
      <c r="A130" t="s">
        <v>9</v>
      </c>
      <c r="B130" t="s">
        <v>10</v>
      </c>
      <c r="C130" t="s">
        <v>49</v>
      </c>
      <c r="D130" t="s">
        <v>12</v>
      </c>
      <c r="E130" s="1">
        <v>7316522.7999999998</v>
      </c>
      <c r="F130" s="1">
        <v>1175.0999999999999</v>
      </c>
      <c r="G130" s="1">
        <v>0</v>
      </c>
      <c r="H130" s="1">
        <v>7314900</v>
      </c>
      <c r="I130" s="1">
        <v>447.7</v>
      </c>
    </row>
    <row r="131" spans="1:9" hidden="1" x14ac:dyDescent="0.2">
      <c r="A131" t="s">
        <v>9</v>
      </c>
      <c r="B131" t="s">
        <v>10</v>
      </c>
      <c r="C131" t="s">
        <v>57</v>
      </c>
      <c r="D131" t="s">
        <v>12</v>
      </c>
      <c r="E131" s="1">
        <v>7114863</v>
      </c>
      <c r="F131" s="1">
        <v>1862.8</v>
      </c>
      <c r="G131" s="1">
        <v>0</v>
      </c>
      <c r="H131" s="1">
        <v>7111930</v>
      </c>
      <c r="I131" s="1">
        <v>1070.2</v>
      </c>
    </row>
    <row r="132" spans="1:9" hidden="1" x14ac:dyDescent="0.2">
      <c r="A132" t="s">
        <v>9</v>
      </c>
      <c r="B132" t="s">
        <v>10</v>
      </c>
      <c r="C132" t="s">
        <v>52</v>
      </c>
      <c r="D132" t="s">
        <v>12</v>
      </c>
      <c r="E132" s="1">
        <v>6957728.7999999998</v>
      </c>
      <c r="F132" s="1">
        <v>290.10000000000002</v>
      </c>
      <c r="G132" s="1">
        <v>0</v>
      </c>
      <c r="H132" s="1">
        <v>6956890</v>
      </c>
      <c r="I132" s="1">
        <v>548.70000000000005</v>
      </c>
    </row>
    <row r="133" spans="1:9" hidden="1" x14ac:dyDescent="0.2">
      <c r="A133" t="s">
        <v>9</v>
      </c>
      <c r="B133" t="s">
        <v>10</v>
      </c>
      <c r="C133" t="s">
        <v>67</v>
      </c>
      <c r="D133" t="s">
        <v>24</v>
      </c>
      <c r="E133" s="1">
        <v>1900500</v>
      </c>
      <c r="F133" s="1">
        <v>250</v>
      </c>
      <c r="G133" s="1">
        <v>0</v>
      </c>
      <c r="H133" s="1">
        <v>1900000</v>
      </c>
      <c r="I133" s="1">
        <v>250</v>
      </c>
    </row>
    <row r="134" spans="1:9" hidden="1" x14ac:dyDescent="0.2">
      <c r="A134" t="s">
        <v>9</v>
      </c>
      <c r="B134" t="s">
        <v>10</v>
      </c>
      <c r="C134" t="s">
        <v>46</v>
      </c>
      <c r="D134" t="s">
        <v>12</v>
      </c>
      <c r="E134" s="1">
        <v>6663326.4000000004</v>
      </c>
      <c r="F134" s="1">
        <v>1394.2</v>
      </c>
      <c r="G134" s="1">
        <v>0</v>
      </c>
      <c r="H134" s="1">
        <v>6661530</v>
      </c>
      <c r="I134" s="1">
        <v>402.2</v>
      </c>
    </row>
    <row r="135" spans="1:9" hidden="1" x14ac:dyDescent="0.2">
      <c r="A135" t="s">
        <v>9</v>
      </c>
      <c r="B135" t="s">
        <v>10</v>
      </c>
      <c r="C135" t="s">
        <v>61</v>
      </c>
      <c r="D135" t="s">
        <v>24</v>
      </c>
      <c r="E135" s="1">
        <v>1701000</v>
      </c>
      <c r="F135" s="1">
        <v>250</v>
      </c>
      <c r="G135" s="1">
        <v>0</v>
      </c>
      <c r="H135" s="1">
        <v>1700000</v>
      </c>
      <c r="I135" s="1">
        <v>750</v>
      </c>
    </row>
    <row r="136" spans="1:9" hidden="1" x14ac:dyDescent="0.2">
      <c r="A136" t="s">
        <v>9</v>
      </c>
      <c r="B136" t="s">
        <v>10</v>
      </c>
      <c r="C136" t="s">
        <v>65</v>
      </c>
      <c r="D136" t="s">
        <v>24</v>
      </c>
      <c r="E136" s="1">
        <v>1700500</v>
      </c>
      <c r="F136" s="1">
        <v>250</v>
      </c>
      <c r="G136" s="1">
        <v>0</v>
      </c>
      <c r="H136" s="1">
        <v>1700000</v>
      </c>
      <c r="I136" s="1">
        <v>250</v>
      </c>
    </row>
    <row r="137" spans="1:9" hidden="1" x14ac:dyDescent="0.2">
      <c r="A137" t="s">
        <v>9</v>
      </c>
      <c r="B137" t="s">
        <v>10</v>
      </c>
      <c r="C137" t="s">
        <v>61</v>
      </c>
      <c r="D137" t="s">
        <v>12</v>
      </c>
      <c r="E137" s="1">
        <v>5839113.0999999996</v>
      </c>
      <c r="F137" s="1">
        <v>666.1</v>
      </c>
      <c r="G137" s="1">
        <v>0</v>
      </c>
      <c r="H137" s="1">
        <v>5834600</v>
      </c>
      <c r="I137" s="1">
        <v>3847</v>
      </c>
    </row>
    <row r="138" spans="1:9" hidden="1" x14ac:dyDescent="0.2">
      <c r="A138" t="s">
        <v>9</v>
      </c>
      <c r="B138" t="s">
        <v>10</v>
      </c>
      <c r="C138" t="s">
        <v>65</v>
      </c>
      <c r="D138" t="s">
        <v>12</v>
      </c>
      <c r="E138" s="1">
        <v>5407335.7000000002</v>
      </c>
      <c r="F138" s="1">
        <v>591.20000000000005</v>
      </c>
      <c r="G138" s="1">
        <v>0</v>
      </c>
      <c r="H138" s="1">
        <v>5400000</v>
      </c>
      <c r="I138" s="1">
        <v>6744.5</v>
      </c>
    </row>
    <row r="139" spans="1:9" hidden="1" x14ac:dyDescent="0.2">
      <c r="A139" t="s">
        <v>9</v>
      </c>
      <c r="B139" t="s">
        <v>10</v>
      </c>
      <c r="C139" t="s">
        <v>11</v>
      </c>
      <c r="D139" t="s">
        <v>12</v>
      </c>
      <c r="E139" s="1">
        <v>4403567.0999999996</v>
      </c>
      <c r="F139" s="1">
        <v>1453.9</v>
      </c>
      <c r="G139" s="1">
        <v>0</v>
      </c>
      <c r="H139" s="1">
        <v>4401100</v>
      </c>
      <c r="I139" s="1">
        <v>1013.2</v>
      </c>
    </row>
    <row r="140" spans="1:9" hidden="1" x14ac:dyDescent="0.2">
      <c r="A140" t="s">
        <v>9</v>
      </c>
      <c r="B140" t="s">
        <v>10</v>
      </c>
      <c r="C140" t="s">
        <v>67</v>
      </c>
      <c r="D140" t="s">
        <v>12</v>
      </c>
      <c r="E140" s="1">
        <v>1298287.3999999999</v>
      </c>
      <c r="F140" s="1">
        <v>249.6</v>
      </c>
      <c r="G140" s="1">
        <v>0</v>
      </c>
      <c r="H140" s="1">
        <v>1298000</v>
      </c>
      <c r="I140" s="1">
        <v>37.799999999999997</v>
      </c>
    </row>
    <row r="141" spans="1:9" hidden="1" x14ac:dyDescent="0.2">
      <c r="A141" t="s">
        <v>9</v>
      </c>
      <c r="B141" t="s">
        <v>10</v>
      </c>
      <c r="C141" t="s">
        <v>69</v>
      </c>
      <c r="D141" t="s">
        <v>24</v>
      </c>
      <c r="E141" s="1">
        <v>1300500</v>
      </c>
      <c r="F141" s="1">
        <v>250</v>
      </c>
      <c r="G141" s="1">
        <v>0</v>
      </c>
      <c r="H141" s="1">
        <v>1300000</v>
      </c>
      <c r="I141" s="1">
        <v>250</v>
      </c>
    </row>
    <row r="142" spans="1:9" hidden="1" x14ac:dyDescent="0.2">
      <c r="A142" t="s">
        <v>9</v>
      </c>
      <c r="B142" t="s">
        <v>10</v>
      </c>
      <c r="C142" t="s">
        <v>69</v>
      </c>
      <c r="D142" t="s">
        <v>12</v>
      </c>
      <c r="E142" s="1">
        <v>1189355.3999999999</v>
      </c>
      <c r="F142" s="1">
        <v>243.6</v>
      </c>
      <c r="G142" s="1">
        <v>0</v>
      </c>
      <c r="H142" s="1">
        <v>1188480</v>
      </c>
      <c r="I142" s="1">
        <v>631.79999999999995</v>
      </c>
    </row>
    <row r="143" spans="1:9" hidden="1" x14ac:dyDescent="0.2">
      <c r="A143" t="s">
        <v>13</v>
      </c>
      <c r="B143" t="s">
        <v>14</v>
      </c>
      <c r="C143" t="s">
        <v>46</v>
      </c>
      <c r="D143" t="s">
        <v>17</v>
      </c>
      <c r="E143" s="1">
        <v>1200505</v>
      </c>
      <c r="F143" s="1">
        <v>255</v>
      </c>
      <c r="G143" s="1">
        <v>0</v>
      </c>
      <c r="H143" s="1">
        <v>1200000</v>
      </c>
      <c r="I143" s="1">
        <v>250</v>
      </c>
    </row>
    <row r="144" spans="1:9" hidden="1" x14ac:dyDescent="0.2">
      <c r="A144" t="s">
        <v>13</v>
      </c>
      <c r="B144" t="s">
        <v>14</v>
      </c>
      <c r="C144" t="s">
        <v>52</v>
      </c>
      <c r="D144" t="s">
        <v>17</v>
      </c>
      <c r="E144" s="1">
        <v>1200500</v>
      </c>
      <c r="F144" s="1">
        <v>250</v>
      </c>
      <c r="G144" s="1">
        <v>0</v>
      </c>
      <c r="H144" s="1">
        <v>1200000</v>
      </c>
      <c r="I144" s="1">
        <v>250</v>
      </c>
    </row>
    <row r="145" spans="1:9" hidden="1" x14ac:dyDescent="0.2">
      <c r="A145" t="s">
        <v>18</v>
      </c>
      <c r="B145" t="s">
        <v>19</v>
      </c>
      <c r="C145" t="s">
        <v>69</v>
      </c>
      <c r="D145" t="s">
        <v>12</v>
      </c>
      <c r="E145" s="1">
        <v>1490222</v>
      </c>
      <c r="F145" s="1">
        <v>199.1</v>
      </c>
      <c r="G145" s="1">
        <v>0</v>
      </c>
      <c r="H145" s="1">
        <v>1490000</v>
      </c>
      <c r="I145" s="1">
        <v>22.9</v>
      </c>
    </row>
    <row r="146" spans="1:9" hidden="1" x14ac:dyDescent="0.2">
      <c r="A146" t="s">
        <v>18</v>
      </c>
      <c r="B146" t="s">
        <v>19</v>
      </c>
      <c r="C146" t="s">
        <v>67</v>
      </c>
      <c r="D146" t="s">
        <v>12</v>
      </c>
      <c r="E146" s="1">
        <v>950445</v>
      </c>
      <c r="F146" s="1">
        <v>165</v>
      </c>
      <c r="G146" s="1">
        <v>0</v>
      </c>
      <c r="H146" s="1">
        <v>949000</v>
      </c>
      <c r="I146" s="1">
        <v>1280</v>
      </c>
    </row>
    <row r="147" spans="1:9" hidden="1" x14ac:dyDescent="0.2">
      <c r="A147" t="s">
        <v>13</v>
      </c>
      <c r="B147" t="s">
        <v>14</v>
      </c>
      <c r="C147" t="s">
        <v>11</v>
      </c>
      <c r="D147" t="s">
        <v>21</v>
      </c>
      <c r="E147" s="1">
        <v>260005</v>
      </c>
      <c r="F147" s="1">
        <v>5</v>
      </c>
      <c r="G147" s="1">
        <v>0</v>
      </c>
      <c r="H147" s="1">
        <v>260000</v>
      </c>
      <c r="I147" s="1">
        <v>0</v>
      </c>
    </row>
    <row r="148" spans="1:9" hidden="1" x14ac:dyDescent="0.2">
      <c r="A148" t="s">
        <v>18</v>
      </c>
      <c r="B148" t="s">
        <v>19</v>
      </c>
      <c r="C148" t="s">
        <v>61</v>
      </c>
      <c r="D148" t="s">
        <v>12</v>
      </c>
      <c r="E148" s="1">
        <v>783948.80000000005</v>
      </c>
      <c r="F148" s="1">
        <v>84.3</v>
      </c>
      <c r="G148" s="1">
        <v>0</v>
      </c>
      <c r="H148" s="1">
        <v>783000</v>
      </c>
      <c r="I148" s="1">
        <v>864.5</v>
      </c>
    </row>
    <row r="149" spans="1:9" hidden="1" x14ac:dyDescent="0.2">
      <c r="A149" t="s">
        <v>9</v>
      </c>
      <c r="B149" t="s">
        <v>10</v>
      </c>
      <c r="C149" t="s">
        <v>57</v>
      </c>
      <c r="D149" t="s">
        <v>24</v>
      </c>
      <c r="E149" s="1">
        <v>1000500</v>
      </c>
      <c r="F149" s="1">
        <v>250</v>
      </c>
      <c r="G149" s="1">
        <v>0</v>
      </c>
      <c r="H149" s="1">
        <v>1000000</v>
      </c>
      <c r="I149" s="1">
        <v>250</v>
      </c>
    </row>
    <row r="150" spans="1:9" hidden="1" x14ac:dyDescent="0.2">
      <c r="A150" t="s">
        <v>18</v>
      </c>
      <c r="B150" t="s">
        <v>19</v>
      </c>
      <c r="C150" t="s">
        <v>65</v>
      </c>
      <c r="D150" t="s">
        <v>12</v>
      </c>
      <c r="E150" s="1">
        <v>723110.5</v>
      </c>
      <c r="F150" s="1">
        <v>109.3</v>
      </c>
      <c r="G150" s="1">
        <v>0</v>
      </c>
      <c r="H150" s="1">
        <v>723000</v>
      </c>
      <c r="I150" s="1">
        <v>1.2</v>
      </c>
    </row>
    <row r="151" spans="1:9" hidden="1" x14ac:dyDescent="0.2">
      <c r="A151" t="s">
        <v>9</v>
      </c>
      <c r="B151" t="s">
        <v>10</v>
      </c>
      <c r="C151" t="s">
        <v>52</v>
      </c>
      <c r="D151" t="s">
        <v>17</v>
      </c>
      <c r="E151" s="1">
        <v>890260</v>
      </c>
      <c r="F151" s="1">
        <v>255</v>
      </c>
      <c r="G151" s="1">
        <v>0</v>
      </c>
      <c r="H151" s="1">
        <v>830000</v>
      </c>
      <c r="I151" s="1">
        <v>60005</v>
      </c>
    </row>
    <row r="152" spans="1:9" hidden="1" x14ac:dyDescent="0.2">
      <c r="A152" t="s">
        <v>18</v>
      </c>
      <c r="B152" t="s">
        <v>19</v>
      </c>
      <c r="C152" t="s">
        <v>11</v>
      </c>
      <c r="D152" t="s">
        <v>12</v>
      </c>
      <c r="E152" s="1">
        <v>494056.3</v>
      </c>
      <c r="F152" s="1">
        <v>56.3</v>
      </c>
      <c r="G152" s="1">
        <v>0</v>
      </c>
      <c r="H152" s="1">
        <v>494000</v>
      </c>
      <c r="I152" s="1">
        <v>0</v>
      </c>
    </row>
    <row r="153" spans="1:9" hidden="1" x14ac:dyDescent="0.2">
      <c r="A153" t="s">
        <v>18</v>
      </c>
      <c r="B153" t="s">
        <v>19</v>
      </c>
      <c r="C153" t="s">
        <v>57</v>
      </c>
      <c r="D153" t="s">
        <v>12</v>
      </c>
      <c r="E153" s="1">
        <v>285163.3</v>
      </c>
      <c r="F153" s="1">
        <v>81.7</v>
      </c>
      <c r="G153" s="1">
        <v>0</v>
      </c>
      <c r="H153" s="1">
        <v>285000</v>
      </c>
      <c r="I153" s="1">
        <v>81.599999999999994</v>
      </c>
    </row>
    <row r="154" spans="1:9" hidden="1" x14ac:dyDescent="0.2">
      <c r="A154" t="s">
        <v>18</v>
      </c>
      <c r="B154" t="s">
        <v>19</v>
      </c>
      <c r="C154" t="s">
        <v>52</v>
      </c>
      <c r="D154" t="s">
        <v>12</v>
      </c>
      <c r="E154" s="1">
        <v>263215.40000000002</v>
      </c>
      <c r="F154" s="1">
        <v>63.5</v>
      </c>
      <c r="G154" s="1">
        <v>0</v>
      </c>
      <c r="H154" s="1">
        <v>261000</v>
      </c>
      <c r="I154" s="1">
        <v>2151.9</v>
      </c>
    </row>
    <row r="155" spans="1:9" hidden="1" x14ac:dyDescent="0.2">
      <c r="A155" t="s">
        <v>18</v>
      </c>
      <c r="B155" t="s">
        <v>19</v>
      </c>
      <c r="C155" t="s">
        <v>46</v>
      </c>
      <c r="D155" t="s">
        <v>12</v>
      </c>
      <c r="E155" s="1">
        <v>259080.9</v>
      </c>
      <c r="F155" s="1">
        <v>50.8</v>
      </c>
      <c r="G155" s="1">
        <v>0</v>
      </c>
      <c r="H155" s="1">
        <v>259000</v>
      </c>
      <c r="I155" s="1">
        <v>30.1</v>
      </c>
    </row>
    <row r="156" spans="1:9" hidden="1" x14ac:dyDescent="0.2">
      <c r="A156" t="s">
        <v>18</v>
      </c>
      <c r="B156" t="s">
        <v>19</v>
      </c>
      <c r="C156" t="s">
        <v>49</v>
      </c>
      <c r="D156" t="s">
        <v>12</v>
      </c>
      <c r="E156" s="1">
        <v>242234.2</v>
      </c>
      <c r="F156" s="1">
        <v>48.1</v>
      </c>
      <c r="G156" s="1">
        <v>0</v>
      </c>
      <c r="H156" s="1">
        <v>242185</v>
      </c>
      <c r="I156" s="1">
        <v>1.1000000000000001</v>
      </c>
    </row>
    <row r="157" spans="1:9" hidden="1" x14ac:dyDescent="0.2">
      <c r="A157" t="s">
        <v>18</v>
      </c>
      <c r="B157" t="s">
        <v>19</v>
      </c>
      <c r="C157" t="s">
        <v>51</v>
      </c>
      <c r="D157" t="s">
        <v>12</v>
      </c>
      <c r="E157" s="1">
        <v>193049.7</v>
      </c>
      <c r="F157" s="1">
        <v>42.3</v>
      </c>
      <c r="G157" s="1">
        <v>0</v>
      </c>
      <c r="H157" s="1">
        <v>193000</v>
      </c>
      <c r="I157" s="1">
        <v>7.4</v>
      </c>
    </row>
    <row r="158" spans="1:9" hidden="1" x14ac:dyDescent="0.2">
      <c r="A158" t="s">
        <v>13</v>
      </c>
      <c r="B158" t="s">
        <v>14</v>
      </c>
      <c r="C158" t="s">
        <v>69</v>
      </c>
      <c r="D158" t="s">
        <v>12</v>
      </c>
      <c r="E158" s="1">
        <v>1673177</v>
      </c>
      <c r="F158" s="1">
        <v>174.7</v>
      </c>
      <c r="G158" s="1">
        <v>0</v>
      </c>
      <c r="H158" s="1">
        <v>1673000.2</v>
      </c>
      <c r="I158" s="1">
        <v>2.1</v>
      </c>
    </row>
    <row r="159" spans="1:9" hidden="1" x14ac:dyDescent="0.2">
      <c r="A159" t="s">
        <v>13</v>
      </c>
      <c r="B159" t="s">
        <v>14</v>
      </c>
      <c r="C159" t="s">
        <v>67</v>
      </c>
      <c r="D159" t="s">
        <v>12</v>
      </c>
      <c r="E159" s="1">
        <v>1462471.4</v>
      </c>
      <c r="F159" s="1">
        <v>71.400000000000006</v>
      </c>
      <c r="G159" s="1">
        <v>0</v>
      </c>
      <c r="H159" s="1">
        <v>1434000</v>
      </c>
      <c r="I159" s="1">
        <v>28400</v>
      </c>
    </row>
    <row r="160" spans="1:9" hidden="1" x14ac:dyDescent="0.2">
      <c r="A160" t="s">
        <v>13</v>
      </c>
      <c r="B160" t="s">
        <v>14</v>
      </c>
      <c r="C160" t="s">
        <v>11</v>
      </c>
      <c r="D160" t="s">
        <v>17</v>
      </c>
      <c r="E160" s="1">
        <v>590505</v>
      </c>
      <c r="F160" s="1">
        <v>255</v>
      </c>
      <c r="G160" s="1">
        <v>0</v>
      </c>
      <c r="H160" s="1">
        <v>590000</v>
      </c>
      <c r="I160" s="1">
        <v>250</v>
      </c>
    </row>
    <row r="161" spans="1:9" hidden="1" x14ac:dyDescent="0.2">
      <c r="A161" t="s">
        <v>13</v>
      </c>
      <c r="B161" t="s">
        <v>14</v>
      </c>
      <c r="C161" t="s">
        <v>57</v>
      </c>
      <c r="D161" t="s">
        <v>17</v>
      </c>
      <c r="E161" s="1">
        <v>570500</v>
      </c>
      <c r="F161" s="1">
        <v>250</v>
      </c>
      <c r="G161" s="1">
        <v>0</v>
      </c>
      <c r="H161" s="1">
        <v>570000</v>
      </c>
      <c r="I161" s="1">
        <v>250</v>
      </c>
    </row>
    <row r="162" spans="1:9" hidden="1" x14ac:dyDescent="0.2">
      <c r="A162" t="s">
        <v>13</v>
      </c>
      <c r="B162" t="s">
        <v>14</v>
      </c>
      <c r="C162" t="s">
        <v>51</v>
      </c>
      <c r="D162" t="s">
        <v>17</v>
      </c>
      <c r="E162" s="1">
        <v>570250</v>
      </c>
      <c r="F162" s="1">
        <v>250</v>
      </c>
      <c r="G162" s="1">
        <v>0</v>
      </c>
      <c r="H162" s="1">
        <v>570000</v>
      </c>
      <c r="I162" s="1">
        <v>0</v>
      </c>
    </row>
    <row r="163" spans="1:9" hidden="1" x14ac:dyDescent="0.2">
      <c r="A163" t="s">
        <v>15</v>
      </c>
      <c r="B163" t="s">
        <v>16</v>
      </c>
      <c r="C163" t="s">
        <v>11</v>
      </c>
      <c r="D163" t="s">
        <v>25</v>
      </c>
      <c r="E163" s="1">
        <v>4800</v>
      </c>
      <c r="F163" s="1">
        <v>4800</v>
      </c>
      <c r="G163" s="1">
        <v>0</v>
      </c>
      <c r="H163" s="1">
        <v>0</v>
      </c>
      <c r="I163" s="1">
        <v>0</v>
      </c>
    </row>
    <row r="164" spans="1:9" hidden="1" x14ac:dyDescent="0.2">
      <c r="A164" t="s">
        <v>13</v>
      </c>
      <c r="B164" t="s">
        <v>14</v>
      </c>
      <c r="C164" t="s">
        <v>46</v>
      </c>
      <c r="D164" t="s">
        <v>21</v>
      </c>
      <c r="E164" s="1">
        <v>240005</v>
      </c>
      <c r="F164" s="1">
        <v>5</v>
      </c>
      <c r="G164" s="1">
        <v>0</v>
      </c>
      <c r="H164" s="1">
        <v>240000</v>
      </c>
      <c r="I164" s="1">
        <v>0</v>
      </c>
    </row>
    <row r="165" spans="1:9" hidden="1" x14ac:dyDescent="0.2">
      <c r="A165" t="s">
        <v>9</v>
      </c>
      <c r="B165" t="s">
        <v>10</v>
      </c>
      <c r="C165" t="s">
        <v>51</v>
      </c>
      <c r="D165" t="s">
        <v>24</v>
      </c>
      <c r="E165" s="1">
        <v>530500</v>
      </c>
      <c r="F165" s="1">
        <v>250</v>
      </c>
      <c r="G165" s="1">
        <v>0</v>
      </c>
      <c r="H165" s="1">
        <v>530000</v>
      </c>
      <c r="I165" s="1">
        <v>250</v>
      </c>
    </row>
    <row r="166" spans="1:9" hidden="1" x14ac:dyDescent="0.2">
      <c r="A166" t="s">
        <v>9</v>
      </c>
      <c r="B166" t="s">
        <v>10</v>
      </c>
      <c r="C166" t="s">
        <v>49</v>
      </c>
      <c r="D166" t="s">
        <v>24</v>
      </c>
      <c r="E166" s="1">
        <v>520505</v>
      </c>
      <c r="F166" s="1">
        <v>250</v>
      </c>
      <c r="G166" s="1">
        <v>0</v>
      </c>
      <c r="H166" s="1">
        <v>520000</v>
      </c>
      <c r="I166" s="1">
        <v>255</v>
      </c>
    </row>
    <row r="167" spans="1:9" hidden="1" x14ac:dyDescent="0.2">
      <c r="A167" t="s">
        <v>9</v>
      </c>
      <c r="B167" t="s">
        <v>10</v>
      </c>
      <c r="C167" t="s">
        <v>46</v>
      </c>
      <c r="D167" t="s">
        <v>21</v>
      </c>
      <c r="E167" s="1">
        <v>200005</v>
      </c>
      <c r="F167" s="1">
        <v>5</v>
      </c>
      <c r="G167" s="1">
        <v>0</v>
      </c>
      <c r="H167" s="1">
        <v>200000</v>
      </c>
      <c r="I167" s="1">
        <v>0</v>
      </c>
    </row>
    <row r="168" spans="1:9" hidden="1" x14ac:dyDescent="0.2">
      <c r="A168" t="s">
        <v>18</v>
      </c>
      <c r="B168" t="s">
        <v>19</v>
      </c>
      <c r="C168" t="s">
        <v>49</v>
      </c>
      <c r="D168" t="s">
        <v>21</v>
      </c>
      <c r="E168" s="1" t="s">
        <v>42</v>
      </c>
      <c r="F168" s="1">
        <v>0</v>
      </c>
      <c r="G168" s="1">
        <v>0</v>
      </c>
      <c r="H168" s="1">
        <v>0</v>
      </c>
      <c r="I168" s="1">
        <v>0</v>
      </c>
    </row>
    <row r="169" spans="1:9" hidden="1" x14ac:dyDescent="0.2">
      <c r="A169" t="s">
        <v>13</v>
      </c>
      <c r="B169" t="s">
        <v>14</v>
      </c>
      <c r="C169" t="s">
        <v>65</v>
      </c>
      <c r="D169" t="s">
        <v>12</v>
      </c>
      <c r="E169" s="1">
        <v>1072069.5</v>
      </c>
      <c r="F169" s="1">
        <v>69.099999999999994</v>
      </c>
      <c r="G169" s="1">
        <v>0</v>
      </c>
      <c r="H169" s="1">
        <v>1072000.1000000001</v>
      </c>
      <c r="I169" s="1">
        <v>0.3</v>
      </c>
    </row>
    <row r="170" spans="1:9" hidden="1" x14ac:dyDescent="0.2">
      <c r="A170" t="s">
        <v>13</v>
      </c>
      <c r="B170" t="s">
        <v>14</v>
      </c>
      <c r="C170" t="s">
        <v>49</v>
      </c>
      <c r="D170" t="s">
        <v>21</v>
      </c>
      <c r="E170" s="1">
        <v>270005</v>
      </c>
      <c r="F170" s="1">
        <v>5</v>
      </c>
      <c r="G170" s="1">
        <v>0</v>
      </c>
      <c r="H170" s="1">
        <v>270000</v>
      </c>
      <c r="I170" s="1">
        <v>0</v>
      </c>
    </row>
    <row r="171" spans="1:9" hidden="1" x14ac:dyDescent="0.2">
      <c r="A171" t="s">
        <v>13</v>
      </c>
      <c r="B171" t="s">
        <v>14</v>
      </c>
      <c r="C171" t="s">
        <v>11</v>
      </c>
      <c r="D171" t="s">
        <v>12</v>
      </c>
      <c r="E171" s="1">
        <v>868071.5</v>
      </c>
      <c r="F171" s="1">
        <v>71.399999999999991</v>
      </c>
      <c r="G171" s="1">
        <v>0</v>
      </c>
      <c r="H171" s="1">
        <v>868000.1</v>
      </c>
      <c r="I171" s="1">
        <v>0</v>
      </c>
    </row>
    <row r="172" spans="1:9" hidden="1" x14ac:dyDescent="0.2">
      <c r="A172" t="s">
        <v>15</v>
      </c>
      <c r="B172" t="s">
        <v>16</v>
      </c>
      <c r="C172" t="s">
        <v>46</v>
      </c>
      <c r="D172" t="s">
        <v>25</v>
      </c>
      <c r="E172" s="1">
        <v>4800</v>
      </c>
      <c r="F172" s="1">
        <v>4800</v>
      </c>
      <c r="G172" s="1">
        <v>0</v>
      </c>
      <c r="H172" s="1">
        <v>0</v>
      </c>
      <c r="I172" s="1">
        <v>0</v>
      </c>
    </row>
    <row r="173" spans="1:9" hidden="1" x14ac:dyDescent="0.2">
      <c r="A173" t="s">
        <v>13</v>
      </c>
      <c r="B173" t="s">
        <v>14</v>
      </c>
      <c r="C173" t="s">
        <v>52</v>
      </c>
      <c r="D173" t="s">
        <v>26</v>
      </c>
      <c r="E173" s="1">
        <v>479050</v>
      </c>
      <c r="F173" s="1">
        <v>500</v>
      </c>
      <c r="G173" s="1">
        <v>0</v>
      </c>
      <c r="H173" s="1">
        <v>478300</v>
      </c>
      <c r="I173" s="1">
        <v>250</v>
      </c>
    </row>
    <row r="174" spans="1:9" hidden="1" x14ac:dyDescent="0.2">
      <c r="A174" t="s">
        <v>9</v>
      </c>
      <c r="B174" t="s">
        <v>10</v>
      </c>
      <c r="C174" t="s">
        <v>61</v>
      </c>
      <c r="D174" t="s">
        <v>17</v>
      </c>
      <c r="E174" s="1">
        <v>456255</v>
      </c>
      <c r="F174" s="1">
        <v>255</v>
      </c>
      <c r="G174" s="1">
        <v>0</v>
      </c>
      <c r="H174" s="1">
        <v>400000</v>
      </c>
      <c r="I174" s="1">
        <v>56000</v>
      </c>
    </row>
    <row r="175" spans="1:9" hidden="1" x14ac:dyDescent="0.2">
      <c r="A175" t="s">
        <v>13</v>
      </c>
      <c r="B175" t="s">
        <v>14</v>
      </c>
      <c r="C175" t="s">
        <v>46</v>
      </c>
      <c r="D175" t="s">
        <v>24</v>
      </c>
      <c r="E175" s="1">
        <v>449005</v>
      </c>
      <c r="F175" s="1">
        <v>5</v>
      </c>
      <c r="G175" s="1">
        <v>0</v>
      </c>
      <c r="H175" s="1">
        <v>390000</v>
      </c>
      <c r="I175" s="1">
        <v>59000</v>
      </c>
    </row>
    <row r="176" spans="1:9" hidden="1" x14ac:dyDescent="0.2">
      <c r="A176" t="s">
        <v>13</v>
      </c>
      <c r="B176" t="s">
        <v>14</v>
      </c>
      <c r="C176" t="s">
        <v>46</v>
      </c>
      <c r="D176" t="s">
        <v>12</v>
      </c>
      <c r="E176" s="1">
        <v>718131.9</v>
      </c>
      <c r="F176" s="1">
        <v>82.2</v>
      </c>
      <c r="G176" s="1">
        <v>0</v>
      </c>
      <c r="H176" s="1">
        <v>718000.7</v>
      </c>
      <c r="I176" s="1">
        <v>49</v>
      </c>
    </row>
    <row r="177" spans="1:9" hidden="1" x14ac:dyDescent="0.2">
      <c r="A177" t="s">
        <v>9</v>
      </c>
      <c r="B177" t="s">
        <v>10</v>
      </c>
      <c r="C177" t="s">
        <v>52</v>
      </c>
      <c r="D177" t="s">
        <v>22</v>
      </c>
      <c r="E177" s="1">
        <v>440005</v>
      </c>
      <c r="F177" s="1">
        <v>5</v>
      </c>
      <c r="G177" s="1">
        <v>0</v>
      </c>
      <c r="H177" s="1">
        <v>440000</v>
      </c>
      <c r="I177" s="1">
        <v>0</v>
      </c>
    </row>
    <row r="178" spans="1:9" hidden="1" x14ac:dyDescent="0.2">
      <c r="A178" t="s">
        <v>9</v>
      </c>
      <c r="B178" t="s">
        <v>10</v>
      </c>
      <c r="C178" t="s">
        <v>51</v>
      </c>
      <c r="D178" t="s">
        <v>47</v>
      </c>
      <c r="E178" s="1">
        <v>410255</v>
      </c>
      <c r="F178" s="1">
        <v>5</v>
      </c>
      <c r="G178" s="1">
        <v>0</v>
      </c>
      <c r="H178" s="1">
        <v>410000</v>
      </c>
      <c r="I178" s="1">
        <v>250</v>
      </c>
    </row>
    <row r="179" spans="1:9" hidden="1" x14ac:dyDescent="0.2">
      <c r="A179" t="s">
        <v>9</v>
      </c>
      <c r="B179" t="s">
        <v>10</v>
      </c>
      <c r="C179" t="s">
        <v>57</v>
      </c>
      <c r="D179" t="s">
        <v>17</v>
      </c>
      <c r="E179" s="1">
        <v>366255</v>
      </c>
      <c r="F179" s="1">
        <v>255</v>
      </c>
      <c r="G179" s="1">
        <v>0</v>
      </c>
      <c r="H179" s="1">
        <v>310000</v>
      </c>
      <c r="I179" s="1">
        <v>56000</v>
      </c>
    </row>
    <row r="180" spans="1:9" hidden="1" x14ac:dyDescent="0.2">
      <c r="A180" t="s">
        <v>9</v>
      </c>
      <c r="B180" t="s">
        <v>10</v>
      </c>
      <c r="C180" t="s">
        <v>49</v>
      </c>
      <c r="D180" t="s">
        <v>22</v>
      </c>
      <c r="E180" s="1">
        <v>360005</v>
      </c>
      <c r="F180" s="1">
        <v>5</v>
      </c>
      <c r="G180" s="1">
        <v>0</v>
      </c>
      <c r="H180" s="1">
        <v>360000</v>
      </c>
      <c r="I180" s="1">
        <v>0</v>
      </c>
    </row>
    <row r="181" spans="1:9" hidden="1" x14ac:dyDescent="0.2">
      <c r="A181" t="s">
        <v>15</v>
      </c>
      <c r="B181" t="s">
        <v>16</v>
      </c>
      <c r="C181" t="s">
        <v>49</v>
      </c>
      <c r="D181" t="s">
        <v>25</v>
      </c>
      <c r="E181" s="1">
        <v>4800</v>
      </c>
      <c r="F181" s="1">
        <v>4800</v>
      </c>
      <c r="G181" s="1">
        <v>0</v>
      </c>
      <c r="H181" s="1">
        <v>0</v>
      </c>
      <c r="I181" s="1">
        <v>0</v>
      </c>
    </row>
    <row r="182" spans="1:9" hidden="1" x14ac:dyDescent="0.2">
      <c r="A182" t="s">
        <v>9</v>
      </c>
      <c r="B182" t="s">
        <v>10</v>
      </c>
      <c r="C182" t="s">
        <v>49</v>
      </c>
      <c r="D182" t="s">
        <v>21</v>
      </c>
      <c r="E182" s="1">
        <v>230255</v>
      </c>
      <c r="F182" s="1">
        <v>5</v>
      </c>
      <c r="G182" s="1">
        <v>0</v>
      </c>
      <c r="H182" s="1">
        <v>230000</v>
      </c>
      <c r="I182" s="1">
        <v>250</v>
      </c>
    </row>
    <row r="183" spans="1:9" hidden="1" x14ac:dyDescent="0.2">
      <c r="A183" t="s">
        <v>18</v>
      </c>
      <c r="B183" t="s">
        <v>19</v>
      </c>
      <c r="C183" t="s">
        <v>51</v>
      </c>
      <c r="D183" t="s">
        <v>21</v>
      </c>
      <c r="E183" s="1" t="s">
        <v>42</v>
      </c>
      <c r="F183" s="1">
        <v>0</v>
      </c>
      <c r="G183" s="1">
        <v>0</v>
      </c>
      <c r="H183" s="1">
        <v>0</v>
      </c>
      <c r="I183" s="1">
        <v>0</v>
      </c>
    </row>
    <row r="184" spans="1:9" hidden="1" x14ac:dyDescent="0.2">
      <c r="A184" t="s">
        <v>9</v>
      </c>
      <c r="B184" t="s">
        <v>10</v>
      </c>
      <c r="C184" t="s">
        <v>51</v>
      </c>
      <c r="D184" t="s">
        <v>21</v>
      </c>
      <c r="E184" s="1">
        <v>350005</v>
      </c>
      <c r="F184" s="1">
        <v>5</v>
      </c>
      <c r="G184" s="1">
        <v>0</v>
      </c>
      <c r="H184" s="1">
        <v>350000</v>
      </c>
      <c r="I184" s="1">
        <v>0</v>
      </c>
    </row>
    <row r="185" spans="1:9" hidden="1" x14ac:dyDescent="0.2">
      <c r="A185" t="s">
        <v>13</v>
      </c>
      <c r="B185" t="s">
        <v>14</v>
      </c>
      <c r="C185" t="s">
        <v>69</v>
      </c>
      <c r="D185" t="s">
        <v>23</v>
      </c>
      <c r="E185" s="1">
        <v>340250</v>
      </c>
      <c r="F185" s="1">
        <v>250</v>
      </c>
      <c r="G185" s="1">
        <v>0</v>
      </c>
      <c r="H185" s="1">
        <v>340000</v>
      </c>
      <c r="I185" s="1">
        <v>0</v>
      </c>
    </row>
    <row r="186" spans="1:9" hidden="1" x14ac:dyDescent="0.2">
      <c r="A186" t="s">
        <v>9</v>
      </c>
      <c r="B186" t="s">
        <v>10</v>
      </c>
      <c r="C186" t="s">
        <v>46</v>
      </c>
      <c r="D186" t="s">
        <v>22</v>
      </c>
      <c r="E186" s="1">
        <v>330005</v>
      </c>
      <c r="F186" s="1">
        <v>5</v>
      </c>
      <c r="G186" s="1">
        <v>0</v>
      </c>
      <c r="H186" s="1">
        <v>330000</v>
      </c>
      <c r="I186" s="1">
        <v>0</v>
      </c>
    </row>
    <row r="187" spans="1:9" hidden="1" x14ac:dyDescent="0.2">
      <c r="A187" t="s">
        <v>13</v>
      </c>
      <c r="B187" t="s">
        <v>14</v>
      </c>
      <c r="C187" t="s">
        <v>67</v>
      </c>
      <c r="D187" t="s">
        <v>23</v>
      </c>
      <c r="E187" s="1">
        <v>320250</v>
      </c>
      <c r="F187" s="1">
        <v>250</v>
      </c>
      <c r="G187" s="1">
        <v>0</v>
      </c>
      <c r="H187" s="1">
        <v>320000</v>
      </c>
      <c r="I187" s="1">
        <v>0</v>
      </c>
    </row>
    <row r="188" spans="1:9" hidden="1" x14ac:dyDescent="0.2">
      <c r="A188" t="s">
        <v>15</v>
      </c>
      <c r="B188" t="s">
        <v>16</v>
      </c>
      <c r="C188" t="s">
        <v>57</v>
      </c>
      <c r="D188" t="s">
        <v>29</v>
      </c>
      <c r="E188" s="1">
        <v>5710</v>
      </c>
      <c r="F188" s="1">
        <v>10</v>
      </c>
      <c r="G188" s="1">
        <v>0</v>
      </c>
      <c r="H188" s="1">
        <v>250</v>
      </c>
      <c r="I188" s="1">
        <v>5450</v>
      </c>
    </row>
    <row r="189" spans="1:9" hidden="1" x14ac:dyDescent="0.2">
      <c r="A189" t="s">
        <v>9</v>
      </c>
      <c r="B189" t="s">
        <v>10</v>
      </c>
      <c r="C189" t="s">
        <v>69</v>
      </c>
      <c r="D189" t="s">
        <v>17</v>
      </c>
      <c r="E189" s="1">
        <v>317110</v>
      </c>
      <c r="F189" s="1">
        <v>10</v>
      </c>
      <c r="G189" s="1">
        <v>0</v>
      </c>
      <c r="H189" s="1">
        <v>310000</v>
      </c>
      <c r="I189" s="1">
        <v>7100</v>
      </c>
    </row>
    <row r="190" spans="1:9" hidden="1" x14ac:dyDescent="0.2">
      <c r="A190" t="s">
        <v>15</v>
      </c>
      <c r="B190" t="s">
        <v>16</v>
      </c>
      <c r="C190" t="s">
        <v>52</v>
      </c>
      <c r="D190" t="s">
        <v>29</v>
      </c>
      <c r="E190" s="1">
        <v>5760</v>
      </c>
      <c r="F190" s="1">
        <v>5</v>
      </c>
      <c r="G190" s="1">
        <v>0</v>
      </c>
      <c r="H190" s="1">
        <v>5</v>
      </c>
      <c r="I190" s="1">
        <v>5750</v>
      </c>
    </row>
    <row r="191" spans="1:9" hidden="1" x14ac:dyDescent="0.2">
      <c r="A191" t="s">
        <v>15</v>
      </c>
      <c r="B191" t="s">
        <v>16</v>
      </c>
      <c r="C191" t="s">
        <v>67</v>
      </c>
      <c r="D191" t="s">
        <v>25</v>
      </c>
      <c r="E191" s="1">
        <v>6200</v>
      </c>
      <c r="F191" s="1">
        <v>6200</v>
      </c>
      <c r="G191" s="1">
        <v>0</v>
      </c>
      <c r="H191" s="1">
        <v>0</v>
      </c>
      <c r="I191" s="1">
        <v>0</v>
      </c>
    </row>
    <row r="192" spans="1:9" hidden="1" x14ac:dyDescent="0.2">
      <c r="A192" t="s">
        <v>13</v>
      </c>
      <c r="B192" t="s">
        <v>14</v>
      </c>
      <c r="C192" t="s">
        <v>51</v>
      </c>
      <c r="D192" t="s">
        <v>21</v>
      </c>
      <c r="E192" s="1">
        <v>250005</v>
      </c>
      <c r="F192" s="1">
        <v>5</v>
      </c>
      <c r="G192" s="1">
        <v>0</v>
      </c>
      <c r="H192" s="1">
        <v>250000</v>
      </c>
      <c r="I192" s="1">
        <v>0</v>
      </c>
    </row>
    <row r="193" spans="1:9" hidden="1" x14ac:dyDescent="0.2">
      <c r="A193" t="s">
        <v>9</v>
      </c>
      <c r="B193" t="s">
        <v>10</v>
      </c>
      <c r="C193" t="s">
        <v>67</v>
      </c>
      <c r="D193" t="s">
        <v>26</v>
      </c>
      <c r="E193" s="1">
        <v>298100</v>
      </c>
      <c r="F193" s="1">
        <v>500</v>
      </c>
      <c r="G193" s="1">
        <v>0</v>
      </c>
      <c r="H193" s="1">
        <v>297600</v>
      </c>
      <c r="I193" s="1">
        <v>0</v>
      </c>
    </row>
    <row r="194" spans="1:9" hidden="1" x14ac:dyDescent="0.2">
      <c r="A194" t="s">
        <v>15</v>
      </c>
      <c r="B194" t="s">
        <v>16</v>
      </c>
      <c r="C194" t="s">
        <v>61</v>
      </c>
      <c r="D194" t="s">
        <v>29</v>
      </c>
      <c r="E194" s="1">
        <v>6610</v>
      </c>
      <c r="F194" s="1">
        <v>5</v>
      </c>
      <c r="G194" s="1">
        <v>0</v>
      </c>
      <c r="H194" s="1">
        <v>5</v>
      </c>
      <c r="I194" s="1">
        <v>6600</v>
      </c>
    </row>
    <row r="195" spans="1:9" hidden="1" x14ac:dyDescent="0.2">
      <c r="A195" t="s">
        <v>15</v>
      </c>
      <c r="B195" t="s">
        <v>16</v>
      </c>
      <c r="C195" t="s">
        <v>69</v>
      </c>
      <c r="D195" t="s">
        <v>25</v>
      </c>
      <c r="E195" s="1">
        <v>7600</v>
      </c>
      <c r="F195" s="1">
        <v>7600</v>
      </c>
      <c r="G195" s="1">
        <v>0</v>
      </c>
      <c r="H195" s="1">
        <v>0</v>
      </c>
      <c r="I195" s="1">
        <v>0</v>
      </c>
    </row>
    <row r="196" spans="1:9" hidden="1" x14ac:dyDescent="0.2">
      <c r="A196" t="s">
        <v>13</v>
      </c>
      <c r="B196" t="s">
        <v>14</v>
      </c>
      <c r="C196" t="s">
        <v>57</v>
      </c>
      <c r="D196" t="s">
        <v>12</v>
      </c>
      <c r="E196" s="1">
        <v>679088.3</v>
      </c>
      <c r="F196" s="1">
        <v>87.1</v>
      </c>
      <c r="G196" s="1">
        <v>0</v>
      </c>
      <c r="H196" s="1">
        <v>679000.1</v>
      </c>
      <c r="I196" s="1">
        <v>1.1000000000000001</v>
      </c>
    </row>
    <row r="197" spans="1:9" hidden="1" x14ac:dyDescent="0.2">
      <c r="A197" t="s">
        <v>15</v>
      </c>
      <c r="B197" t="s">
        <v>16</v>
      </c>
      <c r="C197" t="s">
        <v>65</v>
      </c>
      <c r="D197" t="s">
        <v>25</v>
      </c>
      <c r="E197" s="1">
        <v>8300</v>
      </c>
      <c r="F197" s="1">
        <v>8300</v>
      </c>
      <c r="G197" s="1">
        <v>0</v>
      </c>
      <c r="H197" s="1">
        <v>0</v>
      </c>
      <c r="I197" s="1">
        <v>0</v>
      </c>
    </row>
    <row r="198" spans="1:9" hidden="1" x14ac:dyDescent="0.2">
      <c r="A198" t="s">
        <v>13</v>
      </c>
      <c r="B198" t="s">
        <v>14</v>
      </c>
      <c r="C198" t="s">
        <v>61</v>
      </c>
      <c r="D198" t="s">
        <v>23</v>
      </c>
      <c r="E198" s="1">
        <v>280250</v>
      </c>
      <c r="F198" s="1">
        <v>250</v>
      </c>
      <c r="G198" s="1">
        <v>0</v>
      </c>
      <c r="H198" s="1">
        <v>280000</v>
      </c>
      <c r="I198" s="1">
        <v>0</v>
      </c>
    </row>
    <row r="199" spans="1:9" hidden="1" x14ac:dyDescent="0.2">
      <c r="A199" t="s">
        <v>9</v>
      </c>
      <c r="B199" t="s">
        <v>10</v>
      </c>
      <c r="C199" t="s">
        <v>52</v>
      </c>
      <c r="D199" t="s">
        <v>21</v>
      </c>
      <c r="E199" s="1">
        <v>570005</v>
      </c>
      <c r="F199" s="1">
        <v>5</v>
      </c>
      <c r="G199" s="1">
        <v>0</v>
      </c>
      <c r="H199" s="1">
        <v>570000</v>
      </c>
      <c r="I199" s="1">
        <v>0</v>
      </c>
    </row>
    <row r="200" spans="1:9" hidden="1" x14ac:dyDescent="0.2">
      <c r="A200" t="s">
        <v>9</v>
      </c>
      <c r="B200" t="s">
        <v>10</v>
      </c>
      <c r="C200" t="s">
        <v>51</v>
      </c>
      <c r="D200" t="s">
        <v>17</v>
      </c>
      <c r="E200" s="1">
        <v>280010</v>
      </c>
      <c r="F200" s="1">
        <v>10</v>
      </c>
      <c r="G200" s="1">
        <v>0</v>
      </c>
      <c r="H200" s="1">
        <v>230000</v>
      </c>
      <c r="I200" s="1">
        <v>50000</v>
      </c>
    </row>
    <row r="201" spans="1:9" hidden="1" x14ac:dyDescent="0.2">
      <c r="A201" t="s">
        <v>13</v>
      </c>
      <c r="B201" t="s">
        <v>14</v>
      </c>
      <c r="C201" t="s">
        <v>52</v>
      </c>
      <c r="D201" t="s">
        <v>21</v>
      </c>
      <c r="E201" s="1">
        <v>300005</v>
      </c>
      <c r="F201" s="1">
        <v>5</v>
      </c>
      <c r="G201" s="1">
        <v>0</v>
      </c>
      <c r="H201" s="1">
        <v>300000</v>
      </c>
      <c r="I201" s="1">
        <v>0</v>
      </c>
    </row>
    <row r="202" spans="1:9" hidden="1" x14ac:dyDescent="0.2">
      <c r="A202" t="s">
        <v>15</v>
      </c>
      <c r="B202" t="s">
        <v>16</v>
      </c>
      <c r="C202" t="s">
        <v>65</v>
      </c>
      <c r="D202" t="s">
        <v>29</v>
      </c>
      <c r="E202" s="1">
        <v>8410</v>
      </c>
      <c r="F202" s="1">
        <v>10</v>
      </c>
      <c r="G202" s="1">
        <v>0</v>
      </c>
      <c r="H202" s="1">
        <v>250</v>
      </c>
      <c r="I202" s="1">
        <v>8150</v>
      </c>
    </row>
    <row r="203" spans="1:9" hidden="1" x14ac:dyDescent="0.2">
      <c r="A203" t="s">
        <v>13</v>
      </c>
      <c r="B203" t="s">
        <v>14</v>
      </c>
      <c r="C203" t="s">
        <v>65</v>
      </c>
      <c r="D203" t="s">
        <v>23</v>
      </c>
      <c r="E203" s="1">
        <v>270250</v>
      </c>
      <c r="F203" s="1">
        <v>250</v>
      </c>
      <c r="G203" s="1">
        <v>0</v>
      </c>
      <c r="H203" s="1">
        <v>270000</v>
      </c>
      <c r="I203" s="1">
        <v>0</v>
      </c>
    </row>
    <row r="204" spans="1:9" hidden="1" x14ac:dyDescent="0.2">
      <c r="A204" t="s">
        <v>15</v>
      </c>
      <c r="B204" t="s">
        <v>16</v>
      </c>
      <c r="C204" t="s">
        <v>57</v>
      </c>
      <c r="D204" t="s">
        <v>25</v>
      </c>
      <c r="E204" s="1">
        <v>8700</v>
      </c>
      <c r="F204" s="1">
        <v>8700</v>
      </c>
      <c r="G204" s="1">
        <v>0</v>
      </c>
      <c r="H204" s="1">
        <v>0</v>
      </c>
      <c r="I204" s="1">
        <v>0</v>
      </c>
    </row>
    <row r="205" spans="1:9" hidden="1" x14ac:dyDescent="0.2">
      <c r="A205" t="s">
        <v>18</v>
      </c>
      <c r="B205" t="s">
        <v>19</v>
      </c>
      <c r="C205" t="s">
        <v>52</v>
      </c>
      <c r="D205" t="s">
        <v>21</v>
      </c>
      <c r="E205" s="1">
        <v>20000</v>
      </c>
      <c r="F205" s="1">
        <v>0</v>
      </c>
      <c r="G205" s="1">
        <v>0</v>
      </c>
      <c r="H205" s="1">
        <v>20000</v>
      </c>
      <c r="I205" s="1">
        <v>0</v>
      </c>
    </row>
    <row r="206" spans="1:9" hidden="1" x14ac:dyDescent="0.2">
      <c r="A206" t="s">
        <v>9</v>
      </c>
      <c r="B206" t="s">
        <v>10</v>
      </c>
      <c r="C206" t="s">
        <v>57</v>
      </c>
      <c r="D206" t="s">
        <v>21</v>
      </c>
      <c r="E206" s="1">
        <v>510005</v>
      </c>
      <c r="F206" s="1">
        <v>5</v>
      </c>
      <c r="G206" s="1">
        <v>0</v>
      </c>
      <c r="H206" s="1">
        <v>510000</v>
      </c>
      <c r="I206" s="1">
        <v>0</v>
      </c>
    </row>
    <row r="207" spans="1:9" hidden="1" x14ac:dyDescent="0.2">
      <c r="A207" t="s">
        <v>9</v>
      </c>
      <c r="B207" t="s">
        <v>10</v>
      </c>
      <c r="C207" t="s">
        <v>57</v>
      </c>
      <c r="D207" t="s">
        <v>22</v>
      </c>
      <c r="E207" s="1">
        <v>270005</v>
      </c>
      <c r="F207" s="1">
        <v>5</v>
      </c>
      <c r="G207" s="1">
        <v>0</v>
      </c>
      <c r="H207" s="1">
        <v>270000</v>
      </c>
      <c r="I207" s="1">
        <v>0</v>
      </c>
    </row>
    <row r="208" spans="1:9" hidden="1" x14ac:dyDescent="0.2">
      <c r="A208" t="s">
        <v>13</v>
      </c>
      <c r="B208" t="s">
        <v>14</v>
      </c>
      <c r="C208" t="s">
        <v>52</v>
      </c>
      <c r="D208" t="s">
        <v>12</v>
      </c>
      <c r="E208" s="1">
        <v>652083.80000000005</v>
      </c>
      <c r="F208" s="1">
        <v>83.7</v>
      </c>
      <c r="G208" s="1">
        <v>0</v>
      </c>
      <c r="H208" s="1">
        <v>652000.1</v>
      </c>
      <c r="I208" s="1">
        <v>0</v>
      </c>
    </row>
    <row r="209" spans="1:9" hidden="1" x14ac:dyDescent="0.2">
      <c r="A209" t="s">
        <v>15</v>
      </c>
      <c r="B209" t="s">
        <v>16</v>
      </c>
      <c r="C209" t="s">
        <v>61</v>
      </c>
      <c r="D209" t="s">
        <v>25</v>
      </c>
      <c r="E209" s="1">
        <v>8700</v>
      </c>
      <c r="F209" s="1">
        <v>8700</v>
      </c>
      <c r="G209" s="1">
        <v>0</v>
      </c>
      <c r="H209" s="1">
        <v>0</v>
      </c>
      <c r="I209" s="1">
        <v>0</v>
      </c>
    </row>
    <row r="210" spans="1:9" hidden="1" x14ac:dyDescent="0.2">
      <c r="A210" t="s">
        <v>13</v>
      </c>
      <c r="B210" t="s">
        <v>14</v>
      </c>
      <c r="C210" t="s">
        <v>57</v>
      </c>
      <c r="D210" t="s">
        <v>21</v>
      </c>
      <c r="E210" s="1">
        <v>220005</v>
      </c>
      <c r="F210" s="1">
        <v>5</v>
      </c>
      <c r="G210" s="1">
        <v>0</v>
      </c>
      <c r="H210" s="1">
        <v>220000</v>
      </c>
      <c r="I210" s="1">
        <v>0</v>
      </c>
    </row>
    <row r="211" spans="1:9" hidden="1" x14ac:dyDescent="0.2">
      <c r="A211" t="s">
        <v>13</v>
      </c>
      <c r="B211" t="s">
        <v>14</v>
      </c>
      <c r="C211" t="s">
        <v>61</v>
      </c>
      <c r="D211" t="s">
        <v>12</v>
      </c>
      <c r="E211" s="1">
        <v>601076.1</v>
      </c>
      <c r="F211" s="1">
        <v>70.699999999999989</v>
      </c>
      <c r="G211" s="1">
        <v>0</v>
      </c>
      <c r="H211" s="1">
        <v>601000.1</v>
      </c>
      <c r="I211" s="1">
        <v>5.3</v>
      </c>
    </row>
    <row r="212" spans="1:9" hidden="1" x14ac:dyDescent="0.2">
      <c r="A212" t="s">
        <v>18</v>
      </c>
      <c r="B212" t="s">
        <v>19</v>
      </c>
      <c r="C212" t="s">
        <v>57</v>
      </c>
      <c r="D212" t="s">
        <v>21</v>
      </c>
      <c r="E212" s="1">
        <v>30000</v>
      </c>
      <c r="F212" s="1">
        <v>0</v>
      </c>
      <c r="G212" s="1">
        <v>0</v>
      </c>
      <c r="H212" s="1">
        <v>30000</v>
      </c>
      <c r="I212" s="1">
        <v>0</v>
      </c>
    </row>
    <row r="213" spans="1:9" hidden="1" x14ac:dyDescent="0.2">
      <c r="A213" t="s">
        <v>9</v>
      </c>
      <c r="B213" t="s">
        <v>10</v>
      </c>
      <c r="C213" t="s">
        <v>69</v>
      </c>
      <c r="D213" t="s">
        <v>22</v>
      </c>
      <c r="E213" s="1">
        <v>250005</v>
      </c>
      <c r="F213" s="1">
        <v>5</v>
      </c>
      <c r="G213" s="1">
        <v>0</v>
      </c>
      <c r="H213" s="1">
        <v>250000</v>
      </c>
      <c r="I213" s="1">
        <v>0</v>
      </c>
    </row>
    <row r="214" spans="1:9" hidden="1" x14ac:dyDescent="0.2">
      <c r="A214" t="s">
        <v>13</v>
      </c>
      <c r="B214" t="s">
        <v>14</v>
      </c>
      <c r="C214" t="s">
        <v>51</v>
      </c>
      <c r="D214" t="s">
        <v>12</v>
      </c>
      <c r="E214" s="1">
        <v>506436.6</v>
      </c>
      <c r="F214" s="1">
        <v>44.6</v>
      </c>
      <c r="G214" s="1">
        <v>0</v>
      </c>
      <c r="H214" s="1">
        <v>506000.1</v>
      </c>
      <c r="I214" s="1">
        <v>391.9</v>
      </c>
    </row>
    <row r="215" spans="1:9" hidden="1" x14ac:dyDescent="0.2">
      <c r="A215" t="s">
        <v>9</v>
      </c>
      <c r="B215" t="s">
        <v>10</v>
      </c>
      <c r="C215" t="s">
        <v>61</v>
      </c>
      <c r="D215" t="s">
        <v>21</v>
      </c>
      <c r="E215" s="1">
        <v>1100005</v>
      </c>
      <c r="F215" s="1">
        <v>5</v>
      </c>
      <c r="G215" s="1">
        <v>0</v>
      </c>
      <c r="H215" s="1">
        <v>1100000</v>
      </c>
      <c r="I215" s="1">
        <v>0</v>
      </c>
    </row>
    <row r="216" spans="1:9" hidden="1" x14ac:dyDescent="0.2">
      <c r="A216" t="s">
        <v>13</v>
      </c>
      <c r="B216" t="s">
        <v>14</v>
      </c>
      <c r="C216" t="s">
        <v>61</v>
      </c>
      <c r="D216" t="s">
        <v>21</v>
      </c>
      <c r="E216" s="1">
        <v>320005</v>
      </c>
      <c r="F216" s="1">
        <v>5</v>
      </c>
      <c r="G216" s="1">
        <v>0</v>
      </c>
      <c r="H216" s="1">
        <v>320000</v>
      </c>
      <c r="I216" s="1">
        <v>0</v>
      </c>
    </row>
    <row r="217" spans="1:9" hidden="1" x14ac:dyDescent="0.2">
      <c r="A217" t="s">
        <v>15</v>
      </c>
      <c r="B217" t="s">
        <v>16</v>
      </c>
      <c r="C217" t="s">
        <v>67</v>
      </c>
      <c r="D217" t="s">
        <v>29</v>
      </c>
      <c r="E217" s="1">
        <v>8960</v>
      </c>
      <c r="F217" s="1">
        <v>10</v>
      </c>
      <c r="G217" s="1">
        <v>0</v>
      </c>
      <c r="H217" s="1">
        <v>0</v>
      </c>
      <c r="I217" s="1">
        <v>8950</v>
      </c>
    </row>
    <row r="218" spans="1:9" hidden="1" x14ac:dyDescent="0.2">
      <c r="A218" t="s">
        <v>18</v>
      </c>
      <c r="B218" t="s">
        <v>19</v>
      </c>
      <c r="C218" t="s">
        <v>61</v>
      </c>
      <c r="D218" t="s">
        <v>21</v>
      </c>
      <c r="E218" s="1">
        <v>18000</v>
      </c>
      <c r="F218" s="1">
        <v>0</v>
      </c>
      <c r="G218" s="1">
        <v>0</v>
      </c>
      <c r="H218" s="1">
        <v>18000</v>
      </c>
      <c r="I218" s="1">
        <v>0</v>
      </c>
    </row>
    <row r="219" spans="1:9" hidden="1" x14ac:dyDescent="0.2">
      <c r="A219" t="s">
        <v>9</v>
      </c>
      <c r="B219" t="s">
        <v>10</v>
      </c>
      <c r="C219" t="s">
        <v>67</v>
      </c>
      <c r="D219" t="s">
        <v>17</v>
      </c>
      <c r="E219" s="1">
        <v>228305</v>
      </c>
      <c r="F219" s="1">
        <v>5</v>
      </c>
      <c r="G219" s="1">
        <v>0</v>
      </c>
      <c r="H219" s="1">
        <v>220000</v>
      </c>
      <c r="I219" s="1">
        <v>8300</v>
      </c>
    </row>
    <row r="220" spans="1:9" hidden="1" x14ac:dyDescent="0.2">
      <c r="A220" t="s">
        <v>9</v>
      </c>
      <c r="B220" t="s">
        <v>10</v>
      </c>
      <c r="C220" t="s">
        <v>65</v>
      </c>
      <c r="D220" t="s">
        <v>17</v>
      </c>
      <c r="E220" s="1">
        <v>227855</v>
      </c>
      <c r="F220" s="1">
        <v>255</v>
      </c>
      <c r="G220" s="1">
        <v>0</v>
      </c>
      <c r="H220" s="1">
        <v>220000</v>
      </c>
      <c r="I220" s="1">
        <v>7600</v>
      </c>
    </row>
    <row r="221" spans="1:9" hidden="1" x14ac:dyDescent="0.2">
      <c r="A221" t="s">
        <v>9</v>
      </c>
      <c r="B221" t="s">
        <v>10</v>
      </c>
      <c r="C221" t="s">
        <v>65</v>
      </c>
      <c r="D221" t="s">
        <v>21</v>
      </c>
      <c r="E221" s="1">
        <v>570005</v>
      </c>
      <c r="F221" s="1">
        <v>5</v>
      </c>
      <c r="G221" s="1">
        <v>0</v>
      </c>
      <c r="H221" s="1">
        <v>570000</v>
      </c>
      <c r="I221" s="1">
        <v>0</v>
      </c>
    </row>
    <row r="222" spans="1:9" hidden="1" x14ac:dyDescent="0.2">
      <c r="A222" t="s">
        <v>15</v>
      </c>
      <c r="B222" t="s">
        <v>16</v>
      </c>
      <c r="C222" t="s">
        <v>61</v>
      </c>
      <c r="D222" t="s">
        <v>59</v>
      </c>
      <c r="E222" s="1">
        <v>10000</v>
      </c>
      <c r="F222" s="1">
        <v>0</v>
      </c>
      <c r="G222" s="1">
        <v>0</v>
      </c>
      <c r="H222" s="1">
        <v>10000</v>
      </c>
      <c r="I222" s="1">
        <v>0</v>
      </c>
    </row>
    <row r="223" spans="1:9" hidden="1" x14ac:dyDescent="0.2">
      <c r="A223" t="s">
        <v>13</v>
      </c>
      <c r="B223" t="s">
        <v>14</v>
      </c>
      <c r="C223" t="s">
        <v>57</v>
      </c>
      <c r="D223" t="s">
        <v>26</v>
      </c>
      <c r="E223" s="1">
        <v>211000</v>
      </c>
      <c r="F223" s="1">
        <v>500</v>
      </c>
      <c r="G223" s="1">
        <v>0</v>
      </c>
      <c r="H223" s="1">
        <v>210250</v>
      </c>
      <c r="I223" s="1">
        <v>250</v>
      </c>
    </row>
    <row r="224" spans="1:9" hidden="1" x14ac:dyDescent="0.2">
      <c r="A224" t="s">
        <v>13</v>
      </c>
      <c r="B224" t="s">
        <v>14</v>
      </c>
      <c r="C224" t="s">
        <v>65</v>
      </c>
      <c r="D224" t="s">
        <v>21</v>
      </c>
      <c r="E224" s="1">
        <v>240005</v>
      </c>
      <c r="F224" s="1">
        <v>5</v>
      </c>
      <c r="G224" s="1">
        <v>0</v>
      </c>
      <c r="H224" s="1">
        <v>240000</v>
      </c>
      <c r="I224" s="1">
        <v>0</v>
      </c>
    </row>
    <row r="225" spans="1:9" hidden="1" x14ac:dyDescent="0.2">
      <c r="A225" t="s">
        <v>18</v>
      </c>
      <c r="B225" t="s">
        <v>19</v>
      </c>
      <c r="C225" t="s">
        <v>65</v>
      </c>
      <c r="D225" t="s">
        <v>21</v>
      </c>
      <c r="E225" s="1">
        <v>19000</v>
      </c>
      <c r="F225" s="1">
        <v>0</v>
      </c>
      <c r="G225" s="1">
        <v>0</v>
      </c>
      <c r="H225" s="1">
        <v>19000</v>
      </c>
      <c r="I225" s="1">
        <v>0</v>
      </c>
    </row>
    <row r="226" spans="1:9" hidden="1" x14ac:dyDescent="0.2">
      <c r="A226" t="s">
        <v>9</v>
      </c>
      <c r="B226" t="s">
        <v>10</v>
      </c>
      <c r="C226" t="s">
        <v>46</v>
      </c>
      <c r="D226" t="s">
        <v>17</v>
      </c>
      <c r="E226" s="1">
        <v>197255</v>
      </c>
      <c r="F226" s="1">
        <v>255</v>
      </c>
      <c r="G226" s="1">
        <v>0</v>
      </c>
      <c r="H226" s="1">
        <v>160000</v>
      </c>
      <c r="I226" s="1">
        <v>37000</v>
      </c>
    </row>
    <row r="227" spans="1:9" hidden="1" x14ac:dyDescent="0.2">
      <c r="A227" t="s">
        <v>13</v>
      </c>
      <c r="B227" t="s">
        <v>14</v>
      </c>
      <c r="C227" t="s">
        <v>49</v>
      </c>
      <c r="D227" t="s">
        <v>12</v>
      </c>
      <c r="E227" s="1">
        <v>442051.3</v>
      </c>
      <c r="F227" s="1">
        <v>41.1</v>
      </c>
      <c r="G227" s="1">
        <v>0</v>
      </c>
      <c r="H227" s="1">
        <v>442000.2</v>
      </c>
      <c r="I227" s="1">
        <v>10</v>
      </c>
    </row>
    <row r="228" spans="1:9" hidden="1" x14ac:dyDescent="0.2">
      <c r="A228" t="s">
        <v>13</v>
      </c>
      <c r="B228" t="s">
        <v>14</v>
      </c>
      <c r="C228" t="s">
        <v>49</v>
      </c>
      <c r="D228" t="s">
        <v>17</v>
      </c>
      <c r="E228" s="1">
        <v>190500</v>
      </c>
      <c r="F228" s="1">
        <v>250</v>
      </c>
      <c r="G228" s="1">
        <v>0</v>
      </c>
      <c r="H228" s="1">
        <v>190000</v>
      </c>
      <c r="I228" s="1">
        <v>250</v>
      </c>
    </row>
    <row r="229" spans="1:9" hidden="1" x14ac:dyDescent="0.2">
      <c r="A229" t="s">
        <v>9</v>
      </c>
      <c r="B229" t="s">
        <v>10</v>
      </c>
      <c r="C229" t="s">
        <v>11</v>
      </c>
      <c r="D229" t="s">
        <v>22</v>
      </c>
      <c r="E229" s="1">
        <v>190005</v>
      </c>
      <c r="F229" s="1">
        <v>5</v>
      </c>
      <c r="G229" s="1">
        <v>0</v>
      </c>
      <c r="H229" s="1">
        <v>190000</v>
      </c>
      <c r="I229" s="1">
        <v>0</v>
      </c>
    </row>
    <row r="230" spans="1:9" hidden="1" x14ac:dyDescent="0.2">
      <c r="A230" t="s">
        <v>9</v>
      </c>
      <c r="B230" t="s">
        <v>10</v>
      </c>
      <c r="C230" t="s">
        <v>49</v>
      </c>
      <c r="D230" t="s">
        <v>23</v>
      </c>
      <c r="E230" s="1">
        <v>190005</v>
      </c>
      <c r="F230" s="1">
        <v>5</v>
      </c>
      <c r="G230" s="1">
        <v>0</v>
      </c>
      <c r="H230" s="1">
        <v>190000</v>
      </c>
      <c r="I230" s="1">
        <v>0</v>
      </c>
    </row>
    <row r="231" spans="1:9" hidden="1" x14ac:dyDescent="0.2">
      <c r="A231" t="s">
        <v>15</v>
      </c>
      <c r="B231" t="s">
        <v>16</v>
      </c>
      <c r="C231" t="s">
        <v>51</v>
      </c>
      <c r="D231" t="s">
        <v>29</v>
      </c>
      <c r="E231" s="1">
        <v>14000</v>
      </c>
      <c r="F231" s="1">
        <v>0</v>
      </c>
      <c r="G231" s="1">
        <v>0</v>
      </c>
      <c r="H231" s="1">
        <v>0</v>
      </c>
      <c r="I231" s="1">
        <v>14000</v>
      </c>
    </row>
    <row r="232" spans="1:9" hidden="1" x14ac:dyDescent="0.2">
      <c r="A232" t="s">
        <v>13</v>
      </c>
      <c r="B232" t="s">
        <v>14</v>
      </c>
      <c r="C232" t="s">
        <v>52</v>
      </c>
      <c r="D232" t="s">
        <v>24</v>
      </c>
      <c r="E232" s="1">
        <v>190005</v>
      </c>
      <c r="F232" s="1">
        <v>5</v>
      </c>
      <c r="G232" s="1">
        <v>0</v>
      </c>
      <c r="H232" s="1">
        <v>190000</v>
      </c>
      <c r="I232" s="1">
        <v>0</v>
      </c>
    </row>
    <row r="233" spans="1:9" hidden="1" x14ac:dyDescent="0.2">
      <c r="A233" t="s">
        <v>15</v>
      </c>
      <c r="B233" t="s">
        <v>16</v>
      </c>
      <c r="C233" t="s">
        <v>65</v>
      </c>
      <c r="D233" t="s">
        <v>34</v>
      </c>
      <c r="E233" s="1">
        <v>24064</v>
      </c>
      <c r="F233" s="1">
        <v>3.1</v>
      </c>
      <c r="G233" s="1">
        <v>0</v>
      </c>
      <c r="H233" s="1">
        <v>24060</v>
      </c>
      <c r="I233" s="1">
        <v>0.9</v>
      </c>
    </row>
    <row r="234" spans="1:9" hidden="1" x14ac:dyDescent="0.2">
      <c r="A234" t="s">
        <v>9</v>
      </c>
      <c r="B234" t="s">
        <v>10</v>
      </c>
      <c r="C234" t="s">
        <v>67</v>
      </c>
      <c r="D234" t="s">
        <v>30</v>
      </c>
      <c r="E234" s="1">
        <v>170250</v>
      </c>
      <c r="F234" s="1">
        <v>250</v>
      </c>
      <c r="G234" s="1">
        <v>0</v>
      </c>
      <c r="H234" s="1">
        <v>170000</v>
      </c>
      <c r="I234" s="1">
        <v>0</v>
      </c>
    </row>
    <row r="235" spans="1:9" hidden="1" x14ac:dyDescent="0.2">
      <c r="A235" t="s">
        <v>15</v>
      </c>
      <c r="B235" t="s">
        <v>16</v>
      </c>
      <c r="C235" t="s">
        <v>67</v>
      </c>
      <c r="D235" t="s">
        <v>34</v>
      </c>
      <c r="E235" s="1">
        <v>24086.5</v>
      </c>
      <c r="F235" s="1">
        <v>5.6999999999999993</v>
      </c>
      <c r="G235" s="1">
        <v>0</v>
      </c>
      <c r="H235" s="1">
        <v>24080</v>
      </c>
      <c r="I235" s="1">
        <v>0.8</v>
      </c>
    </row>
    <row r="236" spans="1:9" hidden="1" x14ac:dyDescent="0.2">
      <c r="A236" t="s">
        <v>15</v>
      </c>
      <c r="B236" t="s">
        <v>16</v>
      </c>
      <c r="C236" t="s">
        <v>57</v>
      </c>
      <c r="D236" t="s">
        <v>22</v>
      </c>
      <c r="E236" s="1">
        <v>25000</v>
      </c>
      <c r="F236" s="1">
        <v>0</v>
      </c>
      <c r="G236" s="1">
        <v>0</v>
      </c>
      <c r="H236" s="1">
        <v>25000</v>
      </c>
      <c r="I236" s="1">
        <v>0</v>
      </c>
    </row>
    <row r="237" spans="1:9" hidden="1" x14ac:dyDescent="0.2">
      <c r="A237" t="s">
        <v>9</v>
      </c>
      <c r="B237" t="s">
        <v>10</v>
      </c>
      <c r="C237" t="s">
        <v>67</v>
      </c>
      <c r="D237" t="s">
        <v>22</v>
      </c>
      <c r="E237" s="1">
        <v>170000</v>
      </c>
      <c r="F237" s="1">
        <v>0</v>
      </c>
      <c r="G237" s="1">
        <v>0</v>
      </c>
      <c r="H237" s="1">
        <v>170000</v>
      </c>
      <c r="I237" s="1">
        <v>0</v>
      </c>
    </row>
    <row r="238" spans="1:9" hidden="1" x14ac:dyDescent="0.2">
      <c r="A238" t="s">
        <v>9</v>
      </c>
      <c r="B238" t="s">
        <v>10</v>
      </c>
      <c r="C238" t="s">
        <v>46</v>
      </c>
      <c r="D238" t="s">
        <v>24</v>
      </c>
      <c r="E238" s="1">
        <v>160250</v>
      </c>
      <c r="F238" s="1">
        <v>250</v>
      </c>
      <c r="G238" s="1">
        <v>0</v>
      </c>
      <c r="H238" s="1">
        <v>160000</v>
      </c>
      <c r="I238" s="1">
        <v>0</v>
      </c>
    </row>
    <row r="239" spans="1:9" hidden="1" x14ac:dyDescent="0.2">
      <c r="A239" t="s">
        <v>9</v>
      </c>
      <c r="B239" t="s">
        <v>10</v>
      </c>
      <c r="C239" t="s">
        <v>69</v>
      </c>
      <c r="D239" t="s">
        <v>30</v>
      </c>
      <c r="E239" s="1">
        <v>160250</v>
      </c>
      <c r="F239" s="1">
        <v>250</v>
      </c>
      <c r="G239" s="1">
        <v>0</v>
      </c>
      <c r="H239" s="1">
        <v>160000</v>
      </c>
      <c r="I239" s="1">
        <v>0</v>
      </c>
    </row>
    <row r="240" spans="1:9" hidden="1" x14ac:dyDescent="0.2">
      <c r="A240" t="s">
        <v>15</v>
      </c>
      <c r="B240" t="s">
        <v>16</v>
      </c>
      <c r="C240" t="s">
        <v>61</v>
      </c>
      <c r="D240" t="s">
        <v>22</v>
      </c>
      <c r="E240" s="1">
        <v>25000</v>
      </c>
      <c r="F240" s="1">
        <v>0</v>
      </c>
      <c r="G240" s="1">
        <v>0</v>
      </c>
      <c r="H240" s="1">
        <v>25000</v>
      </c>
      <c r="I240" s="1">
        <v>0</v>
      </c>
    </row>
    <row r="241" spans="1:9" hidden="1" x14ac:dyDescent="0.2">
      <c r="A241" t="s">
        <v>13</v>
      </c>
      <c r="B241" t="s">
        <v>14</v>
      </c>
      <c r="C241" t="s">
        <v>51</v>
      </c>
      <c r="D241" t="s">
        <v>26</v>
      </c>
      <c r="E241" s="1">
        <v>153755</v>
      </c>
      <c r="F241" s="1">
        <v>255</v>
      </c>
      <c r="G241" s="1">
        <v>0</v>
      </c>
      <c r="H241" s="1">
        <v>153500</v>
      </c>
      <c r="I241" s="1">
        <v>0</v>
      </c>
    </row>
    <row r="242" spans="1:9" hidden="1" x14ac:dyDescent="0.2">
      <c r="A242" t="s">
        <v>9</v>
      </c>
      <c r="B242" t="s">
        <v>10</v>
      </c>
      <c r="C242" t="s">
        <v>11</v>
      </c>
      <c r="D242" t="s">
        <v>17</v>
      </c>
      <c r="E242" s="1">
        <v>151255</v>
      </c>
      <c r="F242" s="1">
        <v>255</v>
      </c>
      <c r="G242" s="1">
        <v>0</v>
      </c>
      <c r="H242" s="1">
        <v>110000</v>
      </c>
      <c r="I242" s="1">
        <v>41000</v>
      </c>
    </row>
    <row r="243" spans="1:9" hidden="1" x14ac:dyDescent="0.2">
      <c r="A243" t="s">
        <v>13</v>
      </c>
      <c r="B243" t="s">
        <v>14</v>
      </c>
      <c r="C243" t="s">
        <v>46</v>
      </c>
      <c r="D243" t="s">
        <v>47</v>
      </c>
      <c r="E243" s="1">
        <v>150015</v>
      </c>
      <c r="F243" s="1">
        <v>10</v>
      </c>
      <c r="G243" s="1">
        <v>0</v>
      </c>
      <c r="H243" s="1">
        <v>150000</v>
      </c>
      <c r="I243" s="1">
        <v>5</v>
      </c>
    </row>
    <row r="244" spans="1:9" hidden="1" x14ac:dyDescent="0.2">
      <c r="A244" t="s">
        <v>13</v>
      </c>
      <c r="B244" t="s">
        <v>14</v>
      </c>
      <c r="C244" t="s">
        <v>11</v>
      </c>
      <c r="D244" t="s">
        <v>24</v>
      </c>
      <c r="E244" s="1">
        <v>150005</v>
      </c>
      <c r="F244" s="1">
        <v>5</v>
      </c>
      <c r="G244" s="1">
        <v>0</v>
      </c>
      <c r="H244" s="1">
        <v>150000</v>
      </c>
      <c r="I244" s="1">
        <v>0</v>
      </c>
    </row>
    <row r="245" spans="1:9" hidden="1" x14ac:dyDescent="0.2">
      <c r="A245" t="s">
        <v>9</v>
      </c>
      <c r="B245" t="s">
        <v>10</v>
      </c>
      <c r="C245" t="s">
        <v>61</v>
      </c>
      <c r="D245" t="s">
        <v>26</v>
      </c>
      <c r="E245" s="1">
        <v>147000</v>
      </c>
      <c r="F245" s="1">
        <v>1000</v>
      </c>
      <c r="G245" s="1">
        <v>0</v>
      </c>
      <c r="H245" s="1">
        <v>146000</v>
      </c>
      <c r="I245" s="1">
        <v>0</v>
      </c>
    </row>
    <row r="246" spans="1:9" hidden="1" x14ac:dyDescent="0.2">
      <c r="A246" t="s">
        <v>15</v>
      </c>
      <c r="B246" t="s">
        <v>16</v>
      </c>
      <c r="C246" t="s">
        <v>65</v>
      </c>
      <c r="D246" t="s">
        <v>59</v>
      </c>
      <c r="E246" s="1">
        <v>27000</v>
      </c>
      <c r="F246" s="1">
        <v>0</v>
      </c>
      <c r="G246" s="1">
        <v>0</v>
      </c>
      <c r="H246" s="1">
        <v>27000</v>
      </c>
      <c r="I246" s="1">
        <v>0</v>
      </c>
    </row>
    <row r="247" spans="1:9" hidden="1" x14ac:dyDescent="0.2">
      <c r="A247" t="s">
        <v>13</v>
      </c>
      <c r="B247" t="s">
        <v>14</v>
      </c>
      <c r="C247" t="s">
        <v>69</v>
      </c>
      <c r="D247" t="s">
        <v>22</v>
      </c>
      <c r="E247" s="1">
        <v>140005</v>
      </c>
      <c r="F247" s="1">
        <v>5</v>
      </c>
      <c r="G247" s="1">
        <v>0</v>
      </c>
      <c r="H247" s="1">
        <v>140000</v>
      </c>
      <c r="I247" s="1">
        <v>0</v>
      </c>
    </row>
    <row r="248" spans="1:9" hidden="1" x14ac:dyDescent="0.2">
      <c r="A248" t="s">
        <v>9</v>
      </c>
      <c r="B248" t="s">
        <v>10</v>
      </c>
      <c r="C248" t="s">
        <v>46</v>
      </c>
      <c r="D248" t="s">
        <v>25</v>
      </c>
      <c r="E248" s="1">
        <v>140000</v>
      </c>
      <c r="F248" s="1">
        <v>140000</v>
      </c>
      <c r="G248" s="1">
        <v>0</v>
      </c>
      <c r="H248" s="1">
        <v>0</v>
      </c>
      <c r="I248" s="1">
        <v>0</v>
      </c>
    </row>
    <row r="249" spans="1:9" hidden="1" x14ac:dyDescent="0.2">
      <c r="A249" t="s">
        <v>9</v>
      </c>
      <c r="B249" t="s">
        <v>10</v>
      </c>
      <c r="C249" t="s">
        <v>49</v>
      </c>
      <c r="D249" t="s">
        <v>25</v>
      </c>
      <c r="E249" s="1">
        <v>140000</v>
      </c>
      <c r="F249" s="1">
        <v>140000</v>
      </c>
      <c r="G249" s="1">
        <v>0</v>
      </c>
      <c r="H249" s="1">
        <v>0</v>
      </c>
      <c r="I249" s="1">
        <v>0</v>
      </c>
    </row>
    <row r="250" spans="1:9" hidden="1" x14ac:dyDescent="0.2">
      <c r="A250" t="s">
        <v>9</v>
      </c>
      <c r="B250" t="s">
        <v>10</v>
      </c>
      <c r="C250" t="s">
        <v>51</v>
      </c>
      <c r="D250" t="s">
        <v>25</v>
      </c>
      <c r="E250" s="1">
        <v>140000</v>
      </c>
      <c r="F250" s="1">
        <v>140000</v>
      </c>
      <c r="G250" s="1">
        <v>0</v>
      </c>
      <c r="H250" s="1">
        <v>0</v>
      </c>
      <c r="I250" s="1">
        <v>0</v>
      </c>
    </row>
    <row r="251" spans="1:9" hidden="1" x14ac:dyDescent="0.2">
      <c r="A251" t="s">
        <v>9</v>
      </c>
      <c r="B251" t="s">
        <v>10</v>
      </c>
      <c r="C251" t="s">
        <v>52</v>
      </c>
      <c r="D251" t="s">
        <v>25</v>
      </c>
      <c r="E251" s="1">
        <v>140000</v>
      </c>
      <c r="F251" s="1">
        <v>140000</v>
      </c>
      <c r="G251" s="1">
        <v>0</v>
      </c>
      <c r="H251" s="1">
        <v>0</v>
      </c>
      <c r="I251" s="1">
        <v>0</v>
      </c>
    </row>
    <row r="252" spans="1:9" hidden="1" x14ac:dyDescent="0.2">
      <c r="A252" t="s">
        <v>9</v>
      </c>
      <c r="B252" t="s">
        <v>10</v>
      </c>
      <c r="C252" t="s">
        <v>69</v>
      </c>
      <c r="D252" t="s">
        <v>62</v>
      </c>
      <c r="E252" s="1">
        <v>140000</v>
      </c>
      <c r="F252" s="1">
        <v>0</v>
      </c>
      <c r="G252" s="1">
        <v>0</v>
      </c>
      <c r="H252" s="1">
        <v>140000</v>
      </c>
      <c r="I252" s="1">
        <v>0</v>
      </c>
    </row>
    <row r="253" spans="1:9" hidden="1" x14ac:dyDescent="0.2">
      <c r="A253" t="s">
        <v>9</v>
      </c>
      <c r="B253" t="s">
        <v>10</v>
      </c>
      <c r="C253" t="s">
        <v>61</v>
      </c>
      <c r="D253" t="s">
        <v>30</v>
      </c>
      <c r="E253" s="1">
        <v>130250</v>
      </c>
      <c r="F253" s="1">
        <v>250</v>
      </c>
      <c r="G253" s="1">
        <v>0</v>
      </c>
      <c r="H253" s="1">
        <v>130000</v>
      </c>
      <c r="I253" s="1">
        <v>0</v>
      </c>
    </row>
    <row r="254" spans="1:9" hidden="1" x14ac:dyDescent="0.2">
      <c r="A254" t="s">
        <v>9</v>
      </c>
      <c r="B254" t="s">
        <v>10</v>
      </c>
      <c r="C254" t="s">
        <v>61</v>
      </c>
      <c r="D254" t="s">
        <v>22</v>
      </c>
      <c r="E254" s="1">
        <v>130005</v>
      </c>
      <c r="F254" s="1">
        <v>5</v>
      </c>
      <c r="G254" s="1">
        <v>0</v>
      </c>
      <c r="H254" s="1">
        <v>130000</v>
      </c>
      <c r="I254" s="1">
        <v>0</v>
      </c>
    </row>
    <row r="255" spans="1:9" hidden="1" x14ac:dyDescent="0.2">
      <c r="A255" t="s">
        <v>13</v>
      </c>
      <c r="B255" t="s">
        <v>14</v>
      </c>
      <c r="C255" t="s">
        <v>46</v>
      </c>
      <c r="D255" t="s">
        <v>26</v>
      </c>
      <c r="E255" s="1">
        <v>129600</v>
      </c>
      <c r="F255" s="1">
        <v>500</v>
      </c>
      <c r="G255" s="1">
        <v>0</v>
      </c>
      <c r="H255" s="1">
        <v>123400</v>
      </c>
      <c r="I255" s="1">
        <v>5700</v>
      </c>
    </row>
    <row r="256" spans="1:9" hidden="1" x14ac:dyDescent="0.2">
      <c r="A256" t="s">
        <v>15</v>
      </c>
      <c r="B256" t="s">
        <v>16</v>
      </c>
      <c r="C256" t="s">
        <v>65</v>
      </c>
      <c r="D256" t="s">
        <v>22</v>
      </c>
      <c r="E256" s="1">
        <v>27000</v>
      </c>
      <c r="F256" s="1">
        <v>0</v>
      </c>
      <c r="G256" s="1">
        <v>0</v>
      </c>
      <c r="H256" s="1">
        <v>27000</v>
      </c>
      <c r="I256" s="1">
        <v>0</v>
      </c>
    </row>
    <row r="257" spans="1:9" hidden="1" x14ac:dyDescent="0.2">
      <c r="A257" t="s">
        <v>9</v>
      </c>
      <c r="B257" t="s">
        <v>10</v>
      </c>
      <c r="C257" t="s">
        <v>61</v>
      </c>
      <c r="D257" t="s">
        <v>62</v>
      </c>
      <c r="E257" s="1">
        <v>120250</v>
      </c>
      <c r="F257" s="1">
        <v>0</v>
      </c>
      <c r="G257" s="1">
        <v>0</v>
      </c>
      <c r="H257" s="1">
        <v>120000</v>
      </c>
      <c r="I257" s="1">
        <v>250</v>
      </c>
    </row>
    <row r="258" spans="1:9" hidden="1" x14ac:dyDescent="0.2">
      <c r="A258" t="s">
        <v>13</v>
      </c>
      <c r="B258" t="s">
        <v>14</v>
      </c>
      <c r="C258" t="s">
        <v>51</v>
      </c>
      <c r="D258" t="s">
        <v>22</v>
      </c>
      <c r="E258" s="1">
        <v>120005</v>
      </c>
      <c r="F258" s="1">
        <v>5</v>
      </c>
      <c r="G258" s="1">
        <v>0</v>
      </c>
      <c r="H258" s="1">
        <v>120000</v>
      </c>
      <c r="I258" s="1">
        <v>0</v>
      </c>
    </row>
    <row r="259" spans="1:9" hidden="1" x14ac:dyDescent="0.2">
      <c r="A259" t="s">
        <v>9</v>
      </c>
      <c r="B259" t="s">
        <v>10</v>
      </c>
      <c r="C259" t="s">
        <v>67</v>
      </c>
      <c r="D259" t="s">
        <v>59</v>
      </c>
      <c r="E259" s="1">
        <v>120000</v>
      </c>
      <c r="F259" s="1">
        <v>0</v>
      </c>
      <c r="G259" s="1">
        <v>0</v>
      </c>
      <c r="H259" s="1">
        <v>120000</v>
      </c>
      <c r="I259" s="1">
        <v>0</v>
      </c>
    </row>
    <row r="260" spans="1:9" hidden="1" x14ac:dyDescent="0.2">
      <c r="A260" t="s">
        <v>9</v>
      </c>
      <c r="B260" t="s">
        <v>10</v>
      </c>
      <c r="C260" t="s">
        <v>57</v>
      </c>
      <c r="D260" t="s">
        <v>26</v>
      </c>
      <c r="E260" s="1">
        <v>117005</v>
      </c>
      <c r="F260" s="1">
        <v>1000</v>
      </c>
      <c r="G260" s="1">
        <v>0</v>
      </c>
      <c r="H260" s="1">
        <v>116000</v>
      </c>
      <c r="I260" s="1">
        <v>5</v>
      </c>
    </row>
    <row r="261" spans="1:9" hidden="1" x14ac:dyDescent="0.2">
      <c r="A261" t="s">
        <v>15</v>
      </c>
      <c r="B261" t="s">
        <v>16</v>
      </c>
      <c r="C261" t="s">
        <v>52</v>
      </c>
      <c r="D261" t="s">
        <v>34</v>
      </c>
      <c r="E261" s="1">
        <v>27682.5</v>
      </c>
      <c r="F261" s="1">
        <v>2.4</v>
      </c>
      <c r="G261" s="1">
        <v>0</v>
      </c>
      <c r="H261" s="1">
        <v>27680</v>
      </c>
      <c r="I261" s="1">
        <v>0.1</v>
      </c>
    </row>
    <row r="262" spans="1:9" hidden="1" x14ac:dyDescent="0.2">
      <c r="A262" t="s">
        <v>9</v>
      </c>
      <c r="B262" t="s">
        <v>10</v>
      </c>
      <c r="C262" t="s">
        <v>51</v>
      </c>
      <c r="D262" t="s">
        <v>26</v>
      </c>
      <c r="E262" s="1">
        <v>112250</v>
      </c>
      <c r="F262" s="1">
        <v>1450</v>
      </c>
      <c r="G262" s="1">
        <v>0</v>
      </c>
      <c r="H262" s="1">
        <v>107000</v>
      </c>
      <c r="I262" s="1">
        <v>3800</v>
      </c>
    </row>
    <row r="263" spans="1:9" hidden="1" x14ac:dyDescent="0.2">
      <c r="A263" t="s">
        <v>9</v>
      </c>
      <c r="B263" t="s">
        <v>10</v>
      </c>
      <c r="C263" t="s">
        <v>57</v>
      </c>
      <c r="D263" t="s">
        <v>30</v>
      </c>
      <c r="E263" s="1">
        <v>110250</v>
      </c>
      <c r="F263" s="1">
        <v>250</v>
      </c>
      <c r="G263" s="1">
        <v>0</v>
      </c>
      <c r="H263" s="1">
        <v>110000</v>
      </c>
      <c r="I263" s="1">
        <v>0</v>
      </c>
    </row>
    <row r="264" spans="1:9" hidden="1" x14ac:dyDescent="0.2">
      <c r="A264" t="s">
        <v>9</v>
      </c>
      <c r="B264" t="s">
        <v>10</v>
      </c>
      <c r="C264" t="s">
        <v>65</v>
      </c>
      <c r="D264" t="s">
        <v>30</v>
      </c>
      <c r="E264" s="1">
        <v>110250</v>
      </c>
      <c r="F264" s="1">
        <v>250</v>
      </c>
      <c r="G264" s="1">
        <v>0</v>
      </c>
      <c r="H264" s="1">
        <v>110000</v>
      </c>
      <c r="I264" s="1">
        <v>0</v>
      </c>
    </row>
    <row r="265" spans="1:9" hidden="1" x14ac:dyDescent="0.2">
      <c r="A265" t="s">
        <v>13</v>
      </c>
      <c r="B265" t="s">
        <v>14</v>
      </c>
      <c r="C265" t="s">
        <v>11</v>
      </c>
      <c r="D265" t="s">
        <v>22</v>
      </c>
      <c r="E265" s="1">
        <v>110005</v>
      </c>
      <c r="F265" s="1">
        <v>5</v>
      </c>
      <c r="G265" s="1">
        <v>0</v>
      </c>
      <c r="H265" s="1">
        <v>110000</v>
      </c>
      <c r="I265" s="1">
        <v>0</v>
      </c>
    </row>
    <row r="266" spans="1:9" hidden="1" x14ac:dyDescent="0.2">
      <c r="A266" t="s">
        <v>13</v>
      </c>
      <c r="B266" t="s">
        <v>14</v>
      </c>
      <c r="C266" t="s">
        <v>49</v>
      </c>
      <c r="D266" t="s">
        <v>22</v>
      </c>
      <c r="E266" s="1">
        <v>110005</v>
      </c>
      <c r="F266" s="1">
        <v>5</v>
      </c>
      <c r="G266" s="1">
        <v>0</v>
      </c>
      <c r="H266" s="1">
        <v>110000</v>
      </c>
      <c r="I266" s="1">
        <v>0</v>
      </c>
    </row>
    <row r="267" spans="1:9" hidden="1" x14ac:dyDescent="0.2">
      <c r="A267" t="s">
        <v>13</v>
      </c>
      <c r="B267" t="s">
        <v>14</v>
      </c>
      <c r="C267" t="s">
        <v>52</v>
      </c>
      <c r="D267" t="s">
        <v>22</v>
      </c>
      <c r="E267" s="1">
        <v>110005</v>
      </c>
      <c r="F267" s="1">
        <v>5</v>
      </c>
      <c r="G267" s="1">
        <v>0</v>
      </c>
      <c r="H267" s="1">
        <v>110000</v>
      </c>
      <c r="I267" s="1">
        <v>0</v>
      </c>
    </row>
    <row r="268" spans="1:9" hidden="1" x14ac:dyDescent="0.2">
      <c r="A268" t="s">
        <v>9</v>
      </c>
      <c r="B268" t="s">
        <v>10</v>
      </c>
      <c r="C268" t="s">
        <v>67</v>
      </c>
      <c r="D268" t="s">
        <v>21</v>
      </c>
      <c r="E268" s="1">
        <v>520005</v>
      </c>
      <c r="F268" s="1">
        <v>5</v>
      </c>
      <c r="G268" s="1">
        <v>0</v>
      </c>
      <c r="H268" s="1">
        <v>520000</v>
      </c>
      <c r="I268" s="1">
        <v>0</v>
      </c>
    </row>
    <row r="269" spans="1:9" hidden="1" x14ac:dyDescent="0.2">
      <c r="A269" t="s">
        <v>9</v>
      </c>
      <c r="B269" t="s">
        <v>10</v>
      </c>
      <c r="C269" t="s">
        <v>11</v>
      </c>
      <c r="D269" t="s">
        <v>25</v>
      </c>
      <c r="E269" s="1">
        <v>100000</v>
      </c>
      <c r="F269" s="1">
        <v>100000</v>
      </c>
      <c r="G269" s="1">
        <v>0</v>
      </c>
      <c r="H269" s="1">
        <v>0</v>
      </c>
      <c r="I269" s="1">
        <v>0</v>
      </c>
    </row>
    <row r="270" spans="1:9" hidden="1" x14ac:dyDescent="0.2">
      <c r="A270" t="s">
        <v>13</v>
      </c>
      <c r="B270" t="s">
        <v>14</v>
      </c>
      <c r="C270" t="s">
        <v>57</v>
      </c>
      <c r="D270" t="s">
        <v>24</v>
      </c>
      <c r="E270" s="1">
        <v>96010</v>
      </c>
      <c r="F270" s="1">
        <v>5</v>
      </c>
      <c r="G270" s="1">
        <v>0</v>
      </c>
      <c r="H270" s="1">
        <v>96000</v>
      </c>
      <c r="I270" s="1">
        <v>5</v>
      </c>
    </row>
    <row r="271" spans="1:9" hidden="1" x14ac:dyDescent="0.2">
      <c r="A271" t="s">
        <v>15</v>
      </c>
      <c r="B271" t="s">
        <v>16</v>
      </c>
      <c r="C271" t="s">
        <v>51</v>
      </c>
      <c r="D271" t="s">
        <v>34</v>
      </c>
      <c r="E271" s="1">
        <v>28983.4</v>
      </c>
      <c r="F271" s="1">
        <v>0.1</v>
      </c>
      <c r="G271" s="1">
        <v>0</v>
      </c>
      <c r="H271" s="1">
        <v>28980</v>
      </c>
      <c r="I271" s="1">
        <v>3.3</v>
      </c>
    </row>
    <row r="272" spans="1:9" hidden="1" x14ac:dyDescent="0.2">
      <c r="A272" t="s">
        <v>13</v>
      </c>
      <c r="B272" t="s">
        <v>14</v>
      </c>
      <c r="C272" t="s">
        <v>61</v>
      </c>
      <c r="D272" t="s">
        <v>58</v>
      </c>
      <c r="E272" s="1">
        <v>91000</v>
      </c>
      <c r="F272" s="1">
        <v>0</v>
      </c>
      <c r="G272" s="1">
        <v>0</v>
      </c>
      <c r="H272" s="1">
        <v>91000</v>
      </c>
      <c r="I272" s="1">
        <v>0</v>
      </c>
    </row>
    <row r="273" spans="1:9" hidden="1" x14ac:dyDescent="0.2">
      <c r="A273" t="s">
        <v>13</v>
      </c>
      <c r="B273" t="s">
        <v>14</v>
      </c>
      <c r="C273" t="s">
        <v>61</v>
      </c>
      <c r="D273" t="s">
        <v>59</v>
      </c>
      <c r="E273" s="1">
        <v>90000</v>
      </c>
      <c r="F273" s="1">
        <v>0</v>
      </c>
      <c r="G273" s="1">
        <v>0</v>
      </c>
      <c r="H273" s="1">
        <v>90000</v>
      </c>
      <c r="I273" s="1">
        <v>0</v>
      </c>
    </row>
    <row r="274" spans="1:9" hidden="1" x14ac:dyDescent="0.2">
      <c r="A274" t="s">
        <v>15</v>
      </c>
      <c r="B274" t="s">
        <v>16</v>
      </c>
      <c r="C274" t="s">
        <v>61</v>
      </c>
      <c r="D274" t="s">
        <v>58</v>
      </c>
      <c r="E274" s="1">
        <v>29000</v>
      </c>
      <c r="F274" s="1">
        <v>0</v>
      </c>
      <c r="G274" s="1">
        <v>0</v>
      </c>
      <c r="H274" s="1">
        <v>29000</v>
      </c>
      <c r="I274" s="1">
        <v>0</v>
      </c>
    </row>
    <row r="275" spans="1:9" hidden="1" x14ac:dyDescent="0.2">
      <c r="A275" t="s">
        <v>18</v>
      </c>
      <c r="B275" t="s">
        <v>19</v>
      </c>
      <c r="C275" t="s">
        <v>51</v>
      </c>
      <c r="D275" t="s">
        <v>25</v>
      </c>
      <c r="E275" s="1">
        <v>88000</v>
      </c>
      <c r="F275" s="1">
        <v>88000</v>
      </c>
      <c r="G275" s="1">
        <v>0</v>
      </c>
      <c r="H275" s="1">
        <v>0</v>
      </c>
      <c r="I275" s="1">
        <v>0</v>
      </c>
    </row>
    <row r="276" spans="1:9" hidden="1" x14ac:dyDescent="0.2">
      <c r="A276" t="s">
        <v>13</v>
      </c>
      <c r="B276" t="s">
        <v>14</v>
      </c>
      <c r="C276" t="s">
        <v>69</v>
      </c>
      <c r="D276" t="s">
        <v>59</v>
      </c>
      <c r="E276" s="1">
        <v>88000</v>
      </c>
      <c r="F276" s="1">
        <v>0</v>
      </c>
      <c r="G276" s="1">
        <v>0</v>
      </c>
      <c r="H276" s="1">
        <v>88000</v>
      </c>
      <c r="I276" s="1">
        <v>0</v>
      </c>
    </row>
    <row r="277" spans="1:9" hidden="1" x14ac:dyDescent="0.2">
      <c r="A277" t="s">
        <v>13</v>
      </c>
      <c r="B277" t="s">
        <v>14</v>
      </c>
      <c r="C277" t="s">
        <v>69</v>
      </c>
      <c r="D277" t="s">
        <v>58</v>
      </c>
      <c r="E277" s="1">
        <v>88000</v>
      </c>
      <c r="F277" s="1">
        <v>0</v>
      </c>
      <c r="G277" s="1">
        <v>0</v>
      </c>
      <c r="H277" s="1">
        <v>88000</v>
      </c>
      <c r="I277" s="1">
        <v>0</v>
      </c>
    </row>
    <row r="278" spans="1:9" hidden="1" x14ac:dyDescent="0.2">
      <c r="A278" t="s">
        <v>13</v>
      </c>
      <c r="B278" t="s">
        <v>14</v>
      </c>
      <c r="C278" t="s">
        <v>67</v>
      </c>
      <c r="D278" t="s">
        <v>59</v>
      </c>
      <c r="E278" s="1">
        <v>87000</v>
      </c>
      <c r="F278" s="1">
        <v>0</v>
      </c>
      <c r="G278" s="1">
        <v>0</v>
      </c>
      <c r="H278" s="1">
        <v>87000</v>
      </c>
      <c r="I278" s="1">
        <v>0</v>
      </c>
    </row>
    <row r="279" spans="1:9" hidden="1" x14ac:dyDescent="0.2">
      <c r="A279" t="s">
        <v>13</v>
      </c>
      <c r="B279" t="s">
        <v>14</v>
      </c>
      <c r="C279" t="s">
        <v>67</v>
      </c>
      <c r="D279" t="s">
        <v>58</v>
      </c>
      <c r="E279" s="1">
        <v>87000</v>
      </c>
      <c r="F279" s="1">
        <v>0</v>
      </c>
      <c r="G279" s="1">
        <v>0</v>
      </c>
      <c r="H279" s="1">
        <v>87000</v>
      </c>
      <c r="I279" s="1">
        <v>0</v>
      </c>
    </row>
    <row r="280" spans="1:9" hidden="1" x14ac:dyDescent="0.2">
      <c r="A280" t="s">
        <v>9</v>
      </c>
      <c r="B280" t="s">
        <v>10</v>
      </c>
      <c r="C280" t="s">
        <v>57</v>
      </c>
      <c r="D280" t="s">
        <v>25</v>
      </c>
      <c r="E280" s="1">
        <v>86000</v>
      </c>
      <c r="F280" s="1">
        <v>86000</v>
      </c>
      <c r="G280" s="1">
        <v>0</v>
      </c>
      <c r="H280" s="1">
        <v>0</v>
      </c>
      <c r="I280" s="1">
        <v>0</v>
      </c>
    </row>
    <row r="281" spans="1:9" hidden="1" x14ac:dyDescent="0.2">
      <c r="A281" t="s">
        <v>9</v>
      </c>
      <c r="B281" t="s">
        <v>10</v>
      </c>
      <c r="C281" t="s">
        <v>61</v>
      </c>
      <c r="D281" t="s">
        <v>25</v>
      </c>
      <c r="E281" s="1">
        <v>86000</v>
      </c>
      <c r="F281" s="1">
        <v>86000</v>
      </c>
      <c r="G281" s="1">
        <v>0</v>
      </c>
      <c r="H281" s="1">
        <v>0</v>
      </c>
      <c r="I281" s="1">
        <v>0</v>
      </c>
    </row>
    <row r="282" spans="1:9" hidden="1" x14ac:dyDescent="0.2">
      <c r="A282" t="s">
        <v>9</v>
      </c>
      <c r="B282" t="s">
        <v>10</v>
      </c>
      <c r="C282" t="s">
        <v>65</v>
      </c>
      <c r="D282" t="s">
        <v>25</v>
      </c>
      <c r="E282" s="1">
        <v>85000</v>
      </c>
      <c r="F282" s="1">
        <v>85000</v>
      </c>
      <c r="G282" s="1">
        <v>0</v>
      </c>
      <c r="H282" s="1">
        <v>0</v>
      </c>
      <c r="I282" s="1">
        <v>0</v>
      </c>
    </row>
    <row r="283" spans="1:9" hidden="1" x14ac:dyDescent="0.2">
      <c r="A283" t="s">
        <v>9</v>
      </c>
      <c r="B283" t="s">
        <v>10</v>
      </c>
      <c r="C283" t="s">
        <v>67</v>
      </c>
      <c r="D283" t="s">
        <v>25</v>
      </c>
      <c r="E283" s="1">
        <v>84000</v>
      </c>
      <c r="F283" s="1">
        <v>84000</v>
      </c>
      <c r="G283" s="1">
        <v>0</v>
      </c>
      <c r="H283" s="1">
        <v>0</v>
      </c>
      <c r="I283" s="1">
        <v>0</v>
      </c>
    </row>
    <row r="284" spans="1:9" hidden="1" x14ac:dyDescent="0.2">
      <c r="A284" t="s">
        <v>9</v>
      </c>
      <c r="B284" t="s">
        <v>10</v>
      </c>
      <c r="C284" t="s">
        <v>69</v>
      </c>
      <c r="D284" t="s">
        <v>25</v>
      </c>
      <c r="E284" s="1">
        <v>84000</v>
      </c>
      <c r="F284" s="1">
        <v>84000</v>
      </c>
      <c r="G284" s="1">
        <v>0</v>
      </c>
      <c r="H284" s="1">
        <v>0</v>
      </c>
      <c r="I284" s="1">
        <v>0</v>
      </c>
    </row>
    <row r="285" spans="1:9" hidden="1" x14ac:dyDescent="0.2">
      <c r="A285" t="s">
        <v>13</v>
      </c>
      <c r="B285" t="s">
        <v>14</v>
      </c>
      <c r="C285" t="s">
        <v>11</v>
      </c>
      <c r="D285" t="s">
        <v>26</v>
      </c>
      <c r="E285" s="1">
        <v>82150</v>
      </c>
      <c r="F285" s="1">
        <v>500</v>
      </c>
      <c r="G285" s="1">
        <v>0</v>
      </c>
      <c r="H285" s="1">
        <v>81400</v>
      </c>
      <c r="I285" s="1">
        <v>250</v>
      </c>
    </row>
    <row r="286" spans="1:9" hidden="1" x14ac:dyDescent="0.2">
      <c r="A286" t="s">
        <v>13</v>
      </c>
      <c r="B286" t="s">
        <v>14</v>
      </c>
      <c r="C286" t="s">
        <v>65</v>
      </c>
      <c r="D286" t="s">
        <v>58</v>
      </c>
      <c r="E286" s="1">
        <v>79000</v>
      </c>
      <c r="F286" s="1">
        <v>0</v>
      </c>
      <c r="G286" s="1">
        <v>0</v>
      </c>
      <c r="H286" s="1">
        <v>79000</v>
      </c>
      <c r="I286" s="1">
        <v>0</v>
      </c>
    </row>
    <row r="287" spans="1:9" hidden="1" x14ac:dyDescent="0.2">
      <c r="A287" t="s">
        <v>13</v>
      </c>
      <c r="B287" t="s">
        <v>14</v>
      </c>
      <c r="C287" t="s">
        <v>57</v>
      </c>
      <c r="D287" t="s">
        <v>58</v>
      </c>
      <c r="E287" s="1">
        <v>78000</v>
      </c>
      <c r="F287" s="1">
        <v>0</v>
      </c>
      <c r="G287" s="1">
        <v>0</v>
      </c>
      <c r="H287" s="1">
        <v>78000</v>
      </c>
      <c r="I287" s="1">
        <v>0</v>
      </c>
    </row>
    <row r="288" spans="1:9" hidden="1" x14ac:dyDescent="0.2">
      <c r="A288" t="s">
        <v>13</v>
      </c>
      <c r="B288" t="s">
        <v>14</v>
      </c>
      <c r="C288" t="s">
        <v>65</v>
      </c>
      <c r="D288" t="s">
        <v>59</v>
      </c>
      <c r="E288" s="1">
        <v>78000</v>
      </c>
      <c r="F288" s="1">
        <v>0</v>
      </c>
      <c r="G288" s="1">
        <v>0</v>
      </c>
      <c r="H288" s="1">
        <v>78000</v>
      </c>
      <c r="I288" s="1">
        <v>0</v>
      </c>
    </row>
    <row r="289" spans="1:9" hidden="1" x14ac:dyDescent="0.2">
      <c r="A289" t="s">
        <v>13</v>
      </c>
      <c r="B289" t="s">
        <v>14</v>
      </c>
      <c r="C289" t="s">
        <v>57</v>
      </c>
      <c r="D289" t="s">
        <v>59</v>
      </c>
      <c r="E289" s="1">
        <v>77000</v>
      </c>
      <c r="F289" s="1">
        <v>0</v>
      </c>
      <c r="G289" s="1">
        <v>0</v>
      </c>
      <c r="H289" s="1">
        <v>77000</v>
      </c>
      <c r="I289" s="1">
        <v>0</v>
      </c>
    </row>
    <row r="290" spans="1:9" hidden="1" x14ac:dyDescent="0.2">
      <c r="A290" t="s">
        <v>15</v>
      </c>
      <c r="B290" t="s">
        <v>16</v>
      </c>
      <c r="C290" t="s">
        <v>67</v>
      </c>
      <c r="D290" t="s">
        <v>59</v>
      </c>
      <c r="E290" s="1">
        <v>30000</v>
      </c>
      <c r="F290" s="1">
        <v>0</v>
      </c>
      <c r="G290" s="1">
        <v>0</v>
      </c>
      <c r="H290" s="1">
        <v>30000</v>
      </c>
      <c r="I290" s="1">
        <v>0</v>
      </c>
    </row>
    <row r="291" spans="1:9" hidden="1" x14ac:dyDescent="0.2">
      <c r="A291" t="s">
        <v>9</v>
      </c>
      <c r="B291" t="s">
        <v>10</v>
      </c>
      <c r="C291" t="s">
        <v>65</v>
      </c>
      <c r="D291" t="s">
        <v>59</v>
      </c>
      <c r="E291" s="1">
        <v>76000</v>
      </c>
      <c r="F291" s="1">
        <v>0</v>
      </c>
      <c r="G291" s="1">
        <v>0</v>
      </c>
      <c r="H291" s="1">
        <v>76000</v>
      </c>
      <c r="I291" s="1">
        <v>0</v>
      </c>
    </row>
    <row r="292" spans="1:9" hidden="1" x14ac:dyDescent="0.2">
      <c r="A292" t="s">
        <v>9</v>
      </c>
      <c r="B292" t="s">
        <v>10</v>
      </c>
      <c r="C292" t="s">
        <v>65</v>
      </c>
      <c r="D292" t="s">
        <v>22</v>
      </c>
      <c r="E292" s="1">
        <v>76000</v>
      </c>
      <c r="F292" s="1">
        <v>0</v>
      </c>
      <c r="G292" s="1">
        <v>0</v>
      </c>
      <c r="H292" s="1">
        <v>76000</v>
      </c>
      <c r="I292" s="1">
        <v>0</v>
      </c>
    </row>
    <row r="293" spans="1:9" hidden="1" x14ac:dyDescent="0.2">
      <c r="A293" t="s">
        <v>9</v>
      </c>
      <c r="B293" t="s">
        <v>10</v>
      </c>
      <c r="C293" t="s">
        <v>57</v>
      </c>
      <c r="D293" t="s">
        <v>59</v>
      </c>
      <c r="E293" s="1">
        <v>74000</v>
      </c>
      <c r="F293" s="1">
        <v>0</v>
      </c>
      <c r="G293" s="1">
        <v>0</v>
      </c>
      <c r="H293" s="1">
        <v>74000</v>
      </c>
      <c r="I293" s="1">
        <v>0</v>
      </c>
    </row>
    <row r="294" spans="1:9" hidden="1" x14ac:dyDescent="0.2">
      <c r="A294" t="s">
        <v>13</v>
      </c>
      <c r="B294" t="s">
        <v>14</v>
      </c>
      <c r="C294" t="s">
        <v>67</v>
      </c>
      <c r="D294" t="s">
        <v>22</v>
      </c>
      <c r="E294" s="1">
        <v>69005</v>
      </c>
      <c r="F294" s="1">
        <v>5</v>
      </c>
      <c r="G294" s="1">
        <v>0</v>
      </c>
      <c r="H294" s="1">
        <v>69000</v>
      </c>
      <c r="I294" s="1">
        <v>0</v>
      </c>
    </row>
    <row r="295" spans="1:9" hidden="1" x14ac:dyDescent="0.2">
      <c r="A295" t="s">
        <v>15</v>
      </c>
      <c r="B295" t="s">
        <v>16</v>
      </c>
      <c r="C295" t="s">
        <v>69</v>
      </c>
      <c r="D295" t="s">
        <v>59</v>
      </c>
      <c r="E295" s="1">
        <v>30000</v>
      </c>
      <c r="F295" s="1">
        <v>0</v>
      </c>
      <c r="G295" s="1">
        <v>0</v>
      </c>
      <c r="H295" s="1">
        <v>30000</v>
      </c>
      <c r="I295" s="1">
        <v>0</v>
      </c>
    </row>
    <row r="296" spans="1:9" hidden="1" x14ac:dyDescent="0.2">
      <c r="A296" t="s">
        <v>15</v>
      </c>
      <c r="B296" t="s">
        <v>16</v>
      </c>
      <c r="C296" t="s">
        <v>57</v>
      </c>
      <c r="D296" t="s">
        <v>34</v>
      </c>
      <c r="E296" s="1">
        <v>30654.1</v>
      </c>
      <c r="F296" s="1">
        <v>2.6</v>
      </c>
      <c r="G296" s="1">
        <v>0</v>
      </c>
      <c r="H296" s="1">
        <v>30650</v>
      </c>
      <c r="I296" s="1">
        <v>1.5</v>
      </c>
    </row>
    <row r="297" spans="1:9" hidden="1" x14ac:dyDescent="0.2">
      <c r="A297" t="s">
        <v>9</v>
      </c>
      <c r="B297" t="s">
        <v>10</v>
      </c>
      <c r="C297" t="s">
        <v>52</v>
      </c>
      <c r="D297" t="s">
        <v>26</v>
      </c>
      <c r="E297" s="1">
        <v>62805</v>
      </c>
      <c r="F297" s="1">
        <v>1250</v>
      </c>
      <c r="G297" s="1">
        <v>0</v>
      </c>
      <c r="H297" s="1">
        <v>57200</v>
      </c>
      <c r="I297" s="1">
        <v>4355</v>
      </c>
    </row>
    <row r="298" spans="1:9" hidden="1" x14ac:dyDescent="0.2">
      <c r="A298" t="s">
        <v>15</v>
      </c>
      <c r="B298" t="s">
        <v>16</v>
      </c>
      <c r="C298" t="s">
        <v>61</v>
      </c>
      <c r="D298" t="s">
        <v>34</v>
      </c>
      <c r="E298" s="1">
        <v>32603.200000000001</v>
      </c>
      <c r="F298" s="1">
        <v>2.7</v>
      </c>
      <c r="G298" s="1">
        <v>0</v>
      </c>
      <c r="H298" s="1">
        <v>32600</v>
      </c>
      <c r="I298" s="1">
        <v>0.5</v>
      </c>
    </row>
    <row r="299" spans="1:9" hidden="1" x14ac:dyDescent="0.2">
      <c r="A299" t="s">
        <v>15</v>
      </c>
      <c r="B299" t="s">
        <v>16</v>
      </c>
      <c r="C299" t="s">
        <v>67</v>
      </c>
      <c r="D299" t="s">
        <v>22</v>
      </c>
      <c r="E299" s="1">
        <v>33000</v>
      </c>
      <c r="F299" s="1">
        <v>0</v>
      </c>
      <c r="G299" s="1">
        <v>0</v>
      </c>
      <c r="H299" s="1">
        <v>33000</v>
      </c>
      <c r="I299" s="1">
        <v>0</v>
      </c>
    </row>
    <row r="300" spans="1:9" hidden="1" x14ac:dyDescent="0.2">
      <c r="A300" t="s">
        <v>15</v>
      </c>
      <c r="B300" t="s">
        <v>16</v>
      </c>
      <c r="C300" t="s">
        <v>69</v>
      </c>
      <c r="D300" t="s">
        <v>34</v>
      </c>
      <c r="E300" s="1">
        <v>33902.300000000003</v>
      </c>
      <c r="F300" s="1">
        <v>2.1</v>
      </c>
      <c r="G300" s="1">
        <v>0</v>
      </c>
      <c r="H300" s="1">
        <v>33900</v>
      </c>
      <c r="I300" s="1">
        <v>0.2</v>
      </c>
    </row>
    <row r="301" spans="1:9" hidden="1" x14ac:dyDescent="0.2">
      <c r="A301" t="s">
        <v>15</v>
      </c>
      <c r="B301" t="s">
        <v>16</v>
      </c>
      <c r="C301" t="s">
        <v>49</v>
      </c>
      <c r="D301" t="s">
        <v>22</v>
      </c>
      <c r="E301" s="1">
        <v>39000</v>
      </c>
      <c r="F301" s="1">
        <v>0</v>
      </c>
      <c r="G301" s="1">
        <v>0</v>
      </c>
      <c r="H301" s="1">
        <v>39000</v>
      </c>
      <c r="I301" s="1">
        <v>0</v>
      </c>
    </row>
    <row r="302" spans="1:9" hidden="1" x14ac:dyDescent="0.2">
      <c r="A302" t="s">
        <v>9</v>
      </c>
      <c r="B302" t="s">
        <v>10</v>
      </c>
      <c r="C302" t="s">
        <v>49</v>
      </c>
      <c r="D302" t="s">
        <v>50</v>
      </c>
      <c r="E302" s="1">
        <v>56000</v>
      </c>
      <c r="F302" s="1">
        <v>0</v>
      </c>
      <c r="G302" s="1">
        <v>0</v>
      </c>
      <c r="H302" s="1">
        <v>56000</v>
      </c>
      <c r="I302" s="1">
        <v>0</v>
      </c>
    </row>
    <row r="303" spans="1:9" hidden="1" x14ac:dyDescent="0.2">
      <c r="A303" t="s">
        <v>18</v>
      </c>
      <c r="B303" t="s">
        <v>19</v>
      </c>
      <c r="C303" t="s">
        <v>52</v>
      </c>
      <c r="D303" t="s">
        <v>25</v>
      </c>
      <c r="E303" s="1">
        <v>56000</v>
      </c>
      <c r="F303" s="1">
        <v>56000</v>
      </c>
      <c r="G303" s="1">
        <v>0</v>
      </c>
      <c r="H303" s="1">
        <v>0</v>
      </c>
      <c r="I303" s="1">
        <v>0</v>
      </c>
    </row>
    <row r="304" spans="1:9" hidden="1" x14ac:dyDescent="0.2">
      <c r="A304" t="s">
        <v>9</v>
      </c>
      <c r="B304" t="s">
        <v>10</v>
      </c>
      <c r="C304" t="s">
        <v>52</v>
      </c>
      <c r="D304" t="s">
        <v>30</v>
      </c>
      <c r="E304" s="1">
        <v>54250</v>
      </c>
      <c r="F304" s="1">
        <v>250</v>
      </c>
      <c r="G304" s="1">
        <v>0</v>
      </c>
      <c r="H304" s="1">
        <v>54000</v>
      </c>
      <c r="I304" s="1">
        <v>0</v>
      </c>
    </row>
    <row r="305" spans="1:9" hidden="1" x14ac:dyDescent="0.2">
      <c r="A305" t="s">
        <v>15</v>
      </c>
      <c r="B305" t="s">
        <v>16</v>
      </c>
      <c r="C305" t="s">
        <v>69</v>
      </c>
      <c r="D305" t="s">
        <v>22</v>
      </c>
      <c r="E305" s="1">
        <v>42000</v>
      </c>
      <c r="F305" s="1">
        <v>0</v>
      </c>
      <c r="G305" s="1">
        <v>0</v>
      </c>
      <c r="H305" s="1">
        <v>42000</v>
      </c>
      <c r="I305" s="1">
        <v>0</v>
      </c>
    </row>
    <row r="306" spans="1:9" hidden="1" x14ac:dyDescent="0.2">
      <c r="A306" t="s">
        <v>13</v>
      </c>
      <c r="B306" t="s">
        <v>14</v>
      </c>
      <c r="C306" t="s">
        <v>51</v>
      </c>
      <c r="D306" t="s">
        <v>24</v>
      </c>
      <c r="E306" s="1">
        <v>53005</v>
      </c>
      <c r="F306" s="1">
        <v>5</v>
      </c>
      <c r="G306" s="1">
        <v>0</v>
      </c>
      <c r="H306" s="1">
        <v>53000</v>
      </c>
      <c r="I306" s="1">
        <v>0</v>
      </c>
    </row>
    <row r="307" spans="1:9" hidden="1" x14ac:dyDescent="0.2">
      <c r="A307" t="s">
        <v>13</v>
      </c>
      <c r="B307" t="s">
        <v>14</v>
      </c>
      <c r="C307" t="s">
        <v>57</v>
      </c>
      <c r="D307" t="s">
        <v>22</v>
      </c>
      <c r="E307" s="1">
        <v>53005</v>
      </c>
      <c r="F307" s="1">
        <v>5</v>
      </c>
      <c r="G307" s="1">
        <v>0</v>
      </c>
      <c r="H307" s="1">
        <v>53000</v>
      </c>
      <c r="I307" s="1">
        <v>0</v>
      </c>
    </row>
    <row r="308" spans="1:9" hidden="1" x14ac:dyDescent="0.2">
      <c r="A308" t="s">
        <v>13</v>
      </c>
      <c r="B308" t="s">
        <v>14</v>
      </c>
      <c r="C308" t="s">
        <v>61</v>
      </c>
      <c r="D308" t="s">
        <v>22</v>
      </c>
      <c r="E308" s="1">
        <v>52005</v>
      </c>
      <c r="F308" s="1">
        <v>5</v>
      </c>
      <c r="G308" s="1">
        <v>0</v>
      </c>
      <c r="H308" s="1">
        <v>52000</v>
      </c>
      <c r="I308" s="1">
        <v>0</v>
      </c>
    </row>
    <row r="309" spans="1:9" hidden="1" x14ac:dyDescent="0.2">
      <c r="A309" t="s">
        <v>15</v>
      </c>
      <c r="B309" t="s">
        <v>16</v>
      </c>
      <c r="C309" t="s">
        <v>65</v>
      </c>
      <c r="D309" t="s">
        <v>58</v>
      </c>
      <c r="E309" s="1">
        <v>44000</v>
      </c>
      <c r="F309" s="1">
        <v>0</v>
      </c>
      <c r="G309" s="1">
        <v>0</v>
      </c>
      <c r="H309" s="1">
        <v>44000</v>
      </c>
      <c r="I309" s="1">
        <v>0</v>
      </c>
    </row>
    <row r="310" spans="1:9" hidden="1" x14ac:dyDescent="0.2">
      <c r="A310" t="s">
        <v>15</v>
      </c>
      <c r="B310" t="s">
        <v>16</v>
      </c>
      <c r="C310" t="s">
        <v>46</v>
      </c>
      <c r="D310" t="s">
        <v>22</v>
      </c>
      <c r="E310" s="1">
        <v>48000</v>
      </c>
      <c r="F310" s="1">
        <v>0</v>
      </c>
      <c r="G310" s="1">
        <v>0</v>
      </c>
      <c r="H310" s="1">
        <v>48000</v>
      </c>
      <c r="I310" s="1">
        <v>0</v>
      </c>
    </row>
    <row r="311" spans="1:9" hidden="1" x14ac:dyDescent="0.2">
      <c r="A311" t="s">
        <v>15</v>
      </c>
      <c r="B311" t="s">
        <v>16</v>
      </c>
      <c r="C311" t="s">
        <v>11</v>
      </c>
      <c r="D311" t="s">
        <v>22</v>
      </c>
      <c r="E311" s="1">
        <v>50000</v>
      </c>
      <c r="F311" s="1">
        <v>0</v>
      </c>
      <c r="G311" s="1">
        <v>0</v>
      </c>
      <c r="H311" s="1">
        <v>50000</v>
      </c>
      <c r="I311" s="1">
        <v>0</v>
      </c>
    </row>
    <row r="312" spans="1:9" hidden="1" x14ac:dyDescent="0.2">
      <c r="A312" t="s">
        <v>15</v>
      </c>
      <c r="B312" t="s">
        <v>16</v>
      </c>
      <c r="C312" t="s">
        <v>51</v>
      </c>
      <c r="D312" t="s">
        <v>22</v>
      </c>
      <c r="E312" s="1">
        <v>51000</v>
      </c>
      <c r="F312" s="1">
        <v>0</v>
      </c>
      <c r="G312" s="1">
        <v>0</v>
      </c>
      <c r="H312" s="1">
        <v>51000</v>
      </c>
      <c r="I312" s="1">
        <v>0</v>
      </c>
    </row>
    <row r="313" spans="1:9" hidden="1" x14ac:dyDescent="0.2">
      <c r="A313" t="s">
        <v>9</v>
      </c>
      <c r="B313" t="s">
        <v>10</v>
      </c>
      <c r="C313" t="s">
        <v>51</v>
      </c>
      <c r="D313" t="s">
        <v>50</v>
      </c>
      <c r="E313" s="1">
        <v>47000</v>
      </c>
      <c r="F313" s="1">
        <v>0</v>
      </c>
      <c r="G313" s="1">
        <v>0</v>
      </c>
      <c r="H313" s="1">
        <v>47000</v>
      </c>
      <c r="I313" s="1">
        <v>0</v>
      </c>
    </row>
    <row r="314" spans="1:9" hidden="1" x14ac:dyDescent="0.2">
      <c r="A314" t="s">
        <v>18</v>
      </c>
      <c r="B314" t="s">
        <v>19</v>
      </c>
      <c r="C314" t="s">
        <v>69</v>
      </c>
      <c r="D314" t="s">
        <v>25</v>
      </c>
      <c r="E314" s="1">
        <v>47000</v>
      </c>
      <c r="F314" s="1">
        <v>47000</v>
      </c>
      <c r="G314" s="1">
        <v>0</v>
      </c>
      <c r="H314" s="1">
        <v>0</v>
      </c>
      <c r="I314" s="1">
        <v>0</v>
      </c>
    </row>
    <row r="315" spans="1:9" hidden="1" x14ac:dyDescent="0.2">
      <c r="A315" t="s">
        <v>13</v>
      </c>
      <c r="B315" t="s">
        <v>14</v>
      </c>
      <c r="C315" t="s">
        <v>65</v>
      </c>
      <c r="D315" t="s">
        <v>22</v>
      </c>
      <c r="E315" s="1">
        <v>45005</v>
      </c>
      <c r="F315" s="1">
        <v>5</v>
      </c>
      <c r="G315" s="1">
        <v>0</v>
      </c>
      <c r="H315" s="1">
        <v>45000</v>
      </c>
      <c r="I315" s="1">
        <v>0</v>
      </c>
    </row>
    <row r="316" spans="1:9" hidden="1" x14ac:dyDescent="0.2">
      <c r="A316" t="s">
        <v>15</v>
      </c>
      <c r="B316" t="s">
        <v>16</v>
      </c>
      <c r="C316" t="s">
        <v>65</v>
      </c>
      <c r="D316" t="s">
        <v>23</v>
      </c>
      <c r="E316" s="1">
        <v>51005</v>
      </c>
      <c r="F316" s="1">
        <v>5</v>
      </c>
      <c r="G316" s="1">
        <v>0</v>
      </c>
      <c r="H316" s="1">
        <v>51000</v>
      </c>
      <c r="I316" s="1">
        <v>0</v>
      </c>
    </row>
    <row r="317" spans="1:9" hidden="1" x14ac:dyDescent="0.2">
      <c r="A317" t="s">
        <v>15</v>
      </c>
      <c r="B317" t="s">
        <v>16</v>
      </c>
      <c r="C317" t="s">
        <v>67</v>
      </c>
      <c r="D317" t="s">
        <v>23</v>
      </c>
      <c r="E317" s="1">
        <v>54250</v>
      </c>
      <c r="F317" s="1">
        <v>250</v>
      </c>
      <c r="G317" s="1">
        <v>0</v>
      </c>
      <c r="H317" s="1">
        <v>54000</v>
      </c>
      <c r="I317" s="1">
        <v>0</v>
      </c>
    </row>
    <row r="318" spans="1:9" hidden="1" x14ac:dyDescent="0.2">
      <c r="A318" t="s">
        <v>18</v>
      </c>
      <c r="B318" t="s">
        <v>19</v>
      </c>
      <c r="C318" t="s">
        <v>46</v>
      </c>
      <c r="D318" t="s">
        <v>25</v>
      </c>
      <c r="E318" s="1">
        <v>40000</v>
      </c>
      <c r="F318" s="1">
        <v>40000</v>
      </c>
      <c r="G318" s="1">
        <v>0</v>
      </c>
      <c r="H318" s="1">
        <v>0</v>
      </c>
      <c r="I318" s="1">
        <v>0</v>
      </c>
    </row>
    <row r="319" spans="1:9" hidden="1" x14ac:dyDescent="0.2">
      <c r="A319" t="s">
        <v>18</v>
      </c>
      <c r="B319" t="s">
        <v>19</v>
      </c>
      <c r="C319" t="s">
        <v>57</v>
      </c>
      <c r="D319" t="s">
        <v>26</v>
      </c>
      <c r="E319" s="1">
        <v>39255</v>
      </c>
      <c r="F319" s="1">
        <v>5</v>
      </c>
      <c r="G319" s="1">
        <v>0</v>
      </c>
      <c r="H319" s="1">
        <v>39000</v>
      </c>
      <c r="I319" s="1">
        <v>250</v>
      </c>
    </row>
    <row r="320" spans="1:9" hidden="1" x14ac:dyDescent="0.2">
      <c r="A320" t="s">
        <v>9</v>
      </c>
      <c r="B320" t="s">
        <v>10</v>
      </c>
      <c r="C320" t="s">
        <v>51</v>
      </c>
      <c r="D320" t="s">
        <v>30</v>
      </c>
      <c r="E320" s="1">
        <v>39250</v>
      </c>
      <c r="F320" s="1">
        <v>250</v>
      </c>
      <c r="G320" s="1">
        <v>0</v>
      </c>
      <c r="H320" s="1">
        <v>39000</v>
      </c>
      <c r="I320" s="1">
        <v>0</v>
      </c>
    </row>
    <row r="321" spans="1:9" hidden="1" x14ac:dyDescent="0.2">
      <c r="A321" t="s">
        <v>15</v>
      </c>
      <c r="B321" t="s">
        <v>16</v>
      </c>
      <c r="C321" t="s">
        <v>52</v>
      </c>
      <c r="D321" t="s">
        <v>22</v>
      </c>
      <c r="E321" s="1">
        <v>58000</v>
      </c>
      <c r="F321" s="1">
        <v>0</v>
      </c>
      <c r="G321" s="1">
        <v>0</v>
      </c>
      <c r="H321" s="1">
        <v>58000</v>
      </c>
      <c r="I321" s="1">
        <v>0</v>
      </c>
    </row>
    <row r="322" spans="1:9" hidden="1" x14ac:dyDescent="0.2">
      <c r="A322" t="s">
        <v>18</v>
      </c>
      <c r="B322" t="s">
        <v>19</v>
      </c>
      <c r="C322" t="s">
        <v>67</v>
      </c>
      <c r="D322" t="s">
        <v>26</v>
      </c>
      <c r="E322" s="1">
        <v>38550</v>
      </c>
      <c r="F322" s="1">
        <v>27250</v>
      </c>
      <c r="G322" s="1">
        <v>0</v>
      </c>
      <c r="H322" s="1">
        <v>10000</v>
      </c>
      <c r="I322" s="1">
        <v>1300</v>
      </c>
    </row>
    <row r="323" spans="1:9" hidden="1" x14ac:dyDescent="0.2">
      <c r="A323" t="s">
        <v>18</v>
      </c>
      <c r="B323" t="s">
        <v>19</v>
      </c>
      <c r="C323" t="s">
        <v>52</v>
      </c>
      <c r="D323" t="s">
        <v>26</v>
      </c>
      <c r="E323" s="1">
        <v>37850</v>
      </c>
      <c r="F323" s="1">
        <v>8850</v>
      </c>
      <c r="G323" s="1">
        <v>0</v>
      </c>
      <c r="H323" s="1">
        <v>29000</v>
      </c>
      <c r="I323" s="1">
        <v>0</v>
      </c>
    </row>
    <row r="324" spans="1:9" hidden="1" x14ac:dyDescent="0.2">
      <c r="A324" t="s">
        <v>18</v>
      </c>
      <c r="B324" t="s">
        <v>19</v>
      </c>
      <c r="C324" t="s">
        <v>67</v>
      </c>
      <c r="D324" t="s">
        <v>25</v>
      </c>
      <c r="E324" s="1">
        <v>37200</v>
      </c>
      <c r="F324" s="1">
        <v>37200</v>
      </c>
      <c r="G324" s="1">
        <v>0</v>
      </c>
      <c r="H324" s="1">
        <v>0</v>
      </c>
      <c r="I324" s="1">
        <v>0</v>
      </c>
    </row>
    <row r="325" spans="1:9" hidden="1" x14ac:dyDescent="0.2">
      <c r="A325" t="s">
        <v>9</v>
      </c>
      <c r="B325" t="s">
        <v>10</v>
      </c>
      <c r="C325" t="s">
        <v>49</v>
      </c>
      <c r="D325" t="s">
        <v>30</v>
      </c>
      <c r="E325" s="1">
        <v>37000</v>
      </c>
      <c r="F325" s="1">
        <v>0</v>
      </c>
      <c r="G325" s="1">
        <v>0</v>
      </c>
      <c r="H325" s="1">
        <v>37000</v>
      </c>
      <c r="I325" s="1">
        <v>0</v>
      </c>
    </row>
    <row r="326" spans="1:9" hidden="1" x14ac:dyDescent="0.2">
      <c r="A326" t="s">
        <v>18</v>
      </c>
      <c r="B326" t="s">
        <v>19</v>
      </c>
      <c r="C326" t="s">
        <v>49</v>
      </c>
      <c r="D326" t="s">
        <v>27</v>
      </c>
      <c r="E326" s="1">
        <v>34810</v>
      </c>
      <c r="F326" s="1">
        <v>0</v>
      </c>
      <c r="G326" s="1">
        <v>0</v>
      </c>
      <c r="H326" s="1">
        <v>0</v>
      </c>
      <c r="I326" s="1">
        <v>34810</v>
      </c>
    </row>
    <row r="327" spans="1:9" hidden="1" x14ac:dyDescent="0.2">
      <c r="A327" t="s">
        <v>18</v>
      </c>
      <c r="B327" t="s">
        <v>19</v>
      </c>
      <c r="C327" t="s">
        <v>69</v>
      </c>
      <c r="D327" t="s">
        <v>26</v>
      </c>
      <c r="E327" s="1">
        <v>33950</v>
      </c>
      <c r="F327" s="1">
        <v>24250</v>
      </c>
      <c r="G327" s="1">
        <v>0</v>
      </c>
      <c r="H327" s="1">
        <v>9700</v>
      </c>
      <c r="I327" s="1">
        <v>0</v>
      </c>
    </row>
    <row r="328" spans="1:9" hidden="1" x14ac:dyDescent="0.2">
      <c r="A328" t="s">
        <v>15</v>
      </c>
      <c r="B328" t="s">
        <v>16</v>
      </c>
      <c r="C328" t="s">
        <v>69</v>
      </c>
      <c r="D328" t="s">
        <v>23</v>
      </c>
      <c r="E328" s="1">
        <v>58250</v>
      </c>
      <c r="F328" s="1">
        <v>250</v>
      </c>
      <c r="G328" s="1">
        <v>0</v>
      </c>
      <c r="H328" s="1">
        <v>58000</v>
      </c>
      <c r="I328" s="1">
        <v>0</v>
      </c>
    </row>
    <row r="329" spans="1:9" hidden="1" x14ac:dyDescent="0.2">
      <c r="A329" t="s">
        <v>9</v>
      </c>
      <c r="B329" t="s">
        <v>10</v>
      </c>
      <c r="C329" t="s">
        <v>52</v>
      </c>
      <c r="D329" t="s">
        <v>53</v>
      </c>
      <c r="E329" s="1">
        <v>33005</v>
      </c>
      <c r="F329" s="1">
        <v>5</v>
      </c>
      <c r="G329" s="1">
        <v>0</v>
      </c>
      <c r="H329" s="1">
        <v>33000</v>
      </c>
      <c r="I329" s="1">
        <v>0</v>
      </c>
    </row>
    <row r="330" spans="1:9" hidden="1" x14ac:dyDescent="0.2">
      <c r="A330" t="s">
        <v>9</v>
      </c>
      <c r="B330" t="s">
        <v>10</v>
      </c>
      <c r="C330" t="s">
        <v>69</v>
      </c>
      <c r="D330" t="s">
        <v>53</v>
      </c>
      <c r="E330" s="1">
        <v>33005</v>
      </c>
      <c r="F330" s="1">
        <v>5</v>
      </c>
      <c r="G330" s="1">
        <v>0</v>
      </c>
      <c r="H330" s="1">
        <v>33000</v>
      </c>
      <c r="I330" s="1">
        <v>0</v>
      </c>
    </row>
    <row r="331" spans="1:9" hidden="1" x14ac:dyDescent="0.2">
      <c r="A331" t="s">
        <v>18</v>
      </c>
      <c r="B331" t="s">
        <v>19</v>
      </c>
      <c r="C331" t="s">
        <v>11</v>
      </c>
      <c r="D331" t="s">
        <v>27</v>
      </c>
      <c r="E331" s="1">
        <v>33000</v>
      </c>
      <c r="F331" s="1">
        <v>0</v>
      </c>
      <c r="G331" s="1">
        <v>0</v>
      </c>
      <c r="H331" s="1">
        <v>0</v>
      </c>
      <c r="I331" s="1">
        <v>33000</v>
      </c>
    </row>
    <row r="332" spans="1:9" hidden="1" x14ac:dyDescent="0.2">
      <c r="A332" t="s">
        <v>15</v>
      </c>
      <c r="B332" t="s">
        <v>16</v>
      </c>
      <c r="C332" t="s">
        <v>67</v>
      </c>
      <c r="D332" t="s">
        <v>58</v>
      </c>
      <c r="E332" s="1">
        <v>60000</v>
      </c>
      <c r="F332" s="1">
        <v>0</v>
      </c>
      <c r="G332" s="1">
        <v>0</v>
      </c>
      <c r="H332" s="1">
        <v>60000</v>
      </c>
      <c r="I332" s="1">
        <v>0</v>
      </c>
    </row>
    <row r="333" spans="1:9" hidden="1" x14ac:dyDescent="0.2">
      <c r="A333" t="s">
        <v>15</v>
      </c>
      <c r="B333" t="s">
        <v>16</v>
      </c>
      <c r="C333" t="s">
        <v>57</v>
      </c>
      <c r="D333" t="s">
        <v>23</v>
      </c>
      <c r="E333" s="1">
        <v>60005</v>
      </c>
      <c r="F333" s="1">
        <v>5</v>
      </c>
      <c r="G333" s="1">
        <v>0</v>
      </c>
      <c r="H333" s="1">
        <v>60000</v>
      </c>
      <c r="I333" s="1">
        <v>0</v>
      </c>
    </row>
    <row r="334" spans="1:9" hidden="1" x14ac:dyDescent="0.2">
      <c r="A334" t="s">
        <v>18</v>
      </c>
      <c r="B334" t="s">
        <v>19</v>
      </c>
      <c r="C334" t="s">
        <v>65</v>
      </c>
      <c r="D334" t="s">
        <v>25</v>
      </c>
      <c r="E334" s="1">
        <v>31700</v>
      </c>
      <c r="F334" s="1">
        <v>31700</v>
      </c>
      <c r="G334" s="1">
        <v>0</v>
      </c>
      <c r="H334" s="1">
        <v>0</v>
      </c>
      <c r="I334" s="1">
        <v>0</v>
      </c>
    </row>
    <row r="335" spans="1:9" hidden="1" x14ac:dyDescent="0.2">
      <c r="A335" t="s">
        <v>9</v>
      </c>
      <c r="B335" t="s">
        <v>10</v>
      </c>
      <c r="C335" t="s">
        <v>52</v>
      </c>
      <c r="D335" t="s">
        <v>50</v>
      </c>
      <c r="E335" s="1">
        <v>31000</v>
      </c>
      <c r="F335" s="1">
        <v>0</v>
      </c>
      <c r="G335" s="1">
        <v>0</v>
      </c>
      <c r="H335" s="1">
        <v>31000</v>
      </c>
      <c r="I335" s="1">
        <v>0</v>
      </c>
    </row>
    <row r="336" spans="1:9" hidden="1" x14ac:dyDescent="0.2">
      <c r="A336" t="s">
        <v>18</v>
      </c>
      <c r="B336" t="s">
        <v>19</v>
      </c>
      <c r="C336" t="s">
        <v>49</v>
      </c>
      <c r="D336" t="s">
        <v>26</v>
      </c>
      <c r="E336" s="1">
        <v>30724</v>
      </c>
      <c r="F336" s="1">
        <v>22773</v>
      </c>
      <c r="G336" s="1">
        <v>0</v>
      </c>
      <c r="H336" s="1">
        <v>4551</v>
      </c>
      <c r="I336" s="1">
        <v>3400</v>
      </c>
    </row>
    <row r="337" spans="1:9" hidden="1" x14ac:dyDescent="0.2">
      <c r="A337" t="s">
        <v>15</v>
      </c>
      <c r="B337" t="s">
        <v>16</v>
      </c>
      <c r="C337" t="s">
        <v>69</v>
      </c>
      <c r="D337" t="s">
        <v>30</v>
      </c>
      <c r="E337" s="1">
        <v>63000</v>
      </c>
      <c r="F337" s="1">
        <v>0</v>
      </c>
      <c r="G337" s="1">
        <v>0</v>
      </c>
      <c r="H337" s="1">
        <v>63000</v>
      </c>
      <c r="I337" s="1">
        <v>0</v>
      </c>
    </row>
    <row r="338" spans="1:9" hidden="1" x14ac:dyDescent="0.2">
      <c r="A338" t="s">
        <v>9</v>
      </c>
      <c r="B338" t="s">
        <v>10</v>
      </c>
      <c r="C338" t="s">
        <v>61</v>
      </c>
      <c r="D338" t="s">
        <v>54</v>
      </c>
      <c r="E338" s="1">
        <v>30010</v>
      </c>
      <c r="F338" s="1">
        <v>5</v>
      </c>
      <c r="G338" s="1">
        <v>0</v>
      </c>
      <c r="H338" s="1">
        <v>30000</v>
      </c>
      <c r="I338" s="1">
        <v>5</v>
      </c>
    </row>
    <row r="339" spans="1:9" hidden="1" x14ac:dyDescent="0.2">
      <c r="A339" t="s">
        <v>18</v>
      </c>
      <c r="B339" t="s">
        <v>19</v>
      </c>
      <c r="C339" t="s">
        <v>57</v>
      </c>
      <c r="D339" t="s">
        <v>23</v>
      </c>
      <c r="E339" s="1">
        <v>30005</v>
      </c>
      <c r="F339" s="1">
        <v>5</v>
      </c>
      <c r="G339" s="1">
        <v>0</v>
      </c>
      <c r="H339" s="1">
        <v>30000</v>
      </c>
      <c r="I339" s="1">
        <v>0</v>
      </c>
    </row>
    <row r="340" spans="1:9" hidden="1" x14ac:dyDescent="0.2">
      <c r="A340" t="s">
        <v>13</v>
      </c>
      <c r="B340" t="s">
        <v>14</v>
      </c>
      <c r="C340" t="s">
        <v>67</v>
      </c>
      <c r="D340" t="s">
        <v>21</v>
      </c>
      <c r="E340" s="1">
        <v>100005</v>
      </c>
      <c r="F340" s="1">
        <v>5</v>
      </c>
      <c r="G340" s="1">
        <v>0</v>
      </c>
      <c r="H340" s="1">
        <v>100000</v>
      </c>
      <c r="I340" s="1">
        <v>0</v>
      </c>
    </row>
    <row r="341" spans="1:9" hidden="1" x14ac:dyDescent="0.2">
      <c r="A341" t="s">
        <v>15</v>
      </c>
      <c r="B341" t="s">
        <v>16</v>
      </c>
      <c r="C341" t="s">
        <v>61</v>
      </c>
      <c r="D341" t="s">
        <v>23</v>
      </c>
      <c r="E341" s="1">
        <v>63005</v>
      </c>
      <c r="F341" s="1">
        <v>5</v>
      </c>
      <c r="G341" s="1">
        <v>0</v>
      </c>
      <c r="H341" s="1">
        <v>63000</v>
      </c>
      <c r="I341" s="1">
        <v>0</v>
      </c>
    </row>
    <row r="342" spans="1:9" hidden="1" x14ac:dyDescent="0.2">
      <c r="A342" t="s">
        <v>15</v>
      </c>
      <c r="B342" t="s">
        <v>16</v>
      </c>
      <c r="C342" t="s">
        <v>49</v>
      </c>
      <c r="D342" t="s">
        <v>29</v>
      </c>
      <c r="E342" s="1">
        <v>88000</v>
      </c>
      <c r="F342" s="1">
        <v>0</v>
      </c>
      <c r="G342" s="1">
        <v>0</v>
      </c>
      <c r="H342" s="1">
        <v>0</v>
      </c>
      <c r="I342" s="1">
        <v>88000</v>
      </c>
    </row>
    <row r="343" spans="1:9" hidden="1" x14ac:dyDescent="0.2">
      <c r="A343" t="s">
        <v>18</v>
      </c>
      <c r="B343" t="s">
        <v>19</v>
      </c>
      <c r="C343" t="s">
        <v>61</v>
      </c>
      <c r="D343" t="s">
        <v>25</v>
      </c>
      <c r="E343" s="1">
        <v>29600</v>
      </c>
      <c r="F343" s="1">
        <v>29600</v>
      </c>
      <c r="G343" s="1">
        <v>0</v>
      </c>
      <c r="H343" s="1">
        <v>0</v>
      </c>
      <c r="I343" s="1">
        <v>0</v>
      </c>
    </row>
    <row r="344" spans="1:9" hidden="1" x14ac:dyDescent="0.2">
      <c r="A344" t="s">
        <v>18</v>
      </c>
      <c r="B344" t="s">
        <v>19</v>
      </c>
      <c r="C344" t="s">
        <v>57</v>
      </c>
      <c r="D344" t="s">
        <v>25</v>
      </c>
      <c r="E344" s="1">
        <v>29400</v>
      </c>
      <c r="F344" s="1">
        <v>29400</v>
      </c>
      <c r="G344" s="1">
        <v>0</v>
      </c>
      <c r="H344" s="1">
        <v>0</v>
      </c>
      <c r="I344" s="1">
        <v>0</v>
      </c>
    </row>
    <row r="345" spans="1:9" hidden="1" x14ac:dyDescent="0.2">
      <c r="A345" t="s">
        <v>15</v>
      </c>
      <c r="B345" t="s">
        <v>16</v>
      </c>
      <c r="C345" t="s">
        <v>11</v>
      </c>
      <c r="D345" t="s">
        <v>26</v>
      </c>
      <c r="E345" s="1">
        <v>92555</v>
      </c>
      <c r="F345" s="1">
        <v>1000</v>
      </c>
      <c r="G345" s="1">
        <v>250</v>
      </c>
      <c r="H345" s="1">
        <v>91300</v>
      </c>
      <c r="I345" s="1">
        <v>5</v>
      </c>
    </row>
    <row r="346" spans="1:9" hidden="1" x14ac:dyDescent="0.2">
      <c r="A346" t="s">
        <v>15</v>
      </c>
      <c r="B346" t="s">
        <v>16</v>
      </c>
      <c r="C346" t="s">
        <v>46</v>
      </c>
      <c r="D346" t="s">
        <v>34</v>
      </c>
      <c r="E346" s="1">
        <v>115600.2</v>
      </c>
      <c r="F346" s="1">
        <v>0.2</v>
      </c>
      <c r="G346" s="1">
        <v>0</v>
      </c>
      <c r="H346" s="1">
        <v>115600</v>
      </c>
      <c r="I346" s="1">
        <v>0</v>
      </c>
    </row>
    <row r="347" spans="1:9" hidden="1" x14ac:dyDescent="0.2">
      <c r="A347" t="s">
        <v>9</v>
      </c>
      <c r="B347" t="s">
        <v>10</v>
      </c>
      <c r="C347" t="s">
        <v>67</v>
      </c>
      <c r="D347" t="s">
        <v>53</v>
      </c>
      <c r="E347" s="1">
        <v>28015</v>
      </c>
      <c r="F347" s="1">
        <v>5</v>
      </c>
      <c r="G347" s="1">
        <v>0</v>
      </c>
      <c r="H347" s="1">
        <v>28000</v>
      </c>
      <c r="I347" s="1">
        <v>10</v>
      </c>
    </row>
    <row r="348" spans="1:9" hidden="1" x14ac:dyDescent="0.2">
      <c r="A348" t="s">
        <v>9</v>
      </c>
      <c r="B348" t="s">
        <v>10</v>
      </c>
      <c r="C348" t="s">
        <v>52</v>
      </c>
      <c r="D348" t="s">
        <v>54</v>
      </c>
      <c r="E348" s="1">
        <v>28010</v>
      </c>
      <c r="F348" s="1">
        <v>5</v>
      </c>
      <c r="G348" s="1">
        <v>0</v>
      </c>
      <c r="H348" s="1">
        <v>28000</v>
      </c>
      <c r="I348" s="1">
        <v>5</v>
      </c>
    </row>
    <row r="349" spans="1:9" x14ac:dyDescent="0.2">
      <c r="A349" t="s">
        <v>15</v>
      </c>
      <c r="B349" t="s">
        <v>16</v>
      </c>
      <c r="C349" t="s">
        <v>57</v>
      </c>
      <c r="D349" t="s">
        <v>26</v>
      </c>
      <c r="E349" s="1">
        <v>284410</v>
      </c>
      <c r="F349" s="1">
        <v>36300</v>
      </c>
      <c r="G349" s="1">
        <v>250</v>
      </c>
      <c r="H349" s="1">
        <v>247100</v>
      </c>
      <c r="I349" s="1">
        <v>760</v>
      </c>
    </row>
    <row r="350" spans="1:9" hidden="1" x14ac:dyDescent="0.2">
      <c r="A350" t="s">
        <v>13</v>
      </c>
      <c r="B350" t="s">
        <v>14</v>
      </c>
      <c r="C350" t="s">
        <v>46</v>
      </c>
      <c r="D350" t="s">
        <v>30</v>
      </c>
      <c r="E350" s="1">
        <v>27255</v>
      </c>
      <c r="F350" s="1">
        <v>5</v>
      </c>
      <c r="G350" s="1">
        <v>0</v>
      </c>
      <c r="H350" s="1">
        <v>27000</v>
      </c>
      <c r="I350" s="1">
        <v>250</v>
      </c>
    </row>
    <row r="351" spans="1:9" hidden="1" x14ac:dyDescent="0.2">
      <c r="A351" t="s">
        <v>18</v>
      </c>
      <c r="B351" t="s">
        <v>19</v>
      </c>
      <c r="C351" t="s">
        <v>49</v>
      </c>
      <c r="D351" t="s">
        <v>25</v>
      </c>
      <c r="E351" s="1">
        <v>27000</v>
      </c>
      <c r="F351" s="1">
        <v>27000</v>
      </c>
      <c r="G351" s="1">
        <v>0</v>
      </c>
      <c r="H351" s="1">
        <v>0</v>
      </c>
      <c r="I351" s="1">
        <v>0</v>
      </c>
    </row>
    <row r="352" spans="1:9" hidden="1" x14ac:dyDescent="0.2">
      <c r="A352" t="s">
        <v>15</v>
      </c>
      <c r="B352" t="s">
        <v>16</v>
      </c>
      <c r="C352" t="s">
        <v>49</v>
      </c>
      <c r="D352" t="s">
        <v>23</v>
      </c>
      <c r="E352" s="1">
        <v>140005</v>
      </c>
      <c r="F352" s="1">
        <v>5</v>
      </c>
      <c r="G352" s="1">
        <v>0</v>
      </c>
      <c r="H352" s="1">
        <v>140000</v>
      </c>
      <c r="I352" s="1">
        <v>0</v>
      </c>
    </row>
    <row r="353" spans="1:9" hidden="1" x14ac:dyDescent="0.2">
      <c r="A353" t="s">
        <v>15</v>
      </c>
      <c r="B353" t="s">
        <v>16</v>
      </c>
      <c r="C353" t="s">
        <v>46</v>
      </c>
      <c r="D353" t="s">
        <v>23</v>
      </c>
      <c r="E353" s="1">
        <v>160005</v>
      </c>
      <c r="F353" s="1">
        <v>5</v>
      </c>
      <c r="G353" s="1">
        <v>0</v>
      </c>
      <c r="H353" s="1">
        <v>160000</v>
      </c>
      <c r="I353" s="1">
        <v>0</v>
      </c>
    </row>
    <row r="354" spans="1:9" hidden="1" x14ac:dyDescent="0.2">
      <c r="A354" t="s">
        <v>18</v>
      </c>
      <c r="B354" t="s">
        <v>19</v>
      </c>
      <c r="C354" t="s">
        <v>65</v>
      </c>
      <c r="D354" t="s">
        <v>26</v>
      </c>
      <c r="E354" s="1">
        <v>26450</v>
      </c>
      <c r="F354" s="1">
        <v>17250</v>
      </c>
      <c r="G354" s="1">
        <v>0</v>
      </c>
      <c r="H354" s="1">
        <v>9200</v>
      </c>
      <c r="I354" s="1">
        <v>0</v>
      </c>
    </row>
    <row r="355" spans="1:9" hidden="1" x14ac:dyDescent="0.2">
      <c r="A355" t="s">
        <v>9</v>
      </c>
      <c r="B355" t="s">
        <v>10</v>
      </c>
      <c r="C355" t="s">
        <v>69</v>
      </c>
      <c r="D355" t="s">
        <v>54</v>
      </c>
      <c r="E355" s="1">
        <v>26005</v>
      </c>
      <c r="F355" s="1">
        <v>5</v>
      </c>
      <c r="G355" s="1">
        <v>0</v>
      </c>
      <c r="H355" s="1">
        <v>26000</v>
      </c>
      <c r="I355" s="1">
        <v>0</v>
      </c>
    </row>
    <row r="356" spans="1:9" hidden="1" x14ac:dyDescent="0.2">
      <c r="A356" t="s">
        <v>9</v>
      </c>
      <c r="B356" t="s">
        <v>10</v>
      </c>
      <c r="C356" t="s">
        <v>52</v>
      </c>
      <c r="D356" t="s">
        <v>55</v>
      </c>
      <c r="E356" s="1">
        <v>25000</v>
      </c>
      <c r="F356" s="1">
        <v>0</v>
      </c>
      <c r="G356" s="1">
        <v>0</v>
      </c>
      <c r="H356" s="1">
        <v>25000</v>
      </c>
      <c r="I356" s="1">
        <v>0</v>
      </c>
    </row>
    <row r="357" spans="1:9" hidden="1" x14ac:dyDescent="0.2">
      <c r="A357" t="s">
        <v>15</v>
      </c>
      <c r="B357" t="s">
        <v>16</v>
      </c>
      <c r="C357" t="s">
        <v>11</v>
      </c>
      <c r="D357" t="s">
        <v>23</v>
      </c>
      <c r="E357" s="1">
        <v>170005</v>
      </c>
      <c r="F357" s="1">
        <v>5</v>
      </c>
      <c r="G357" s="1">
        <v>0</v>
      </c>
      <c r="H357" s="1">
        <v>170000</v>
      </c>
      <c r="I357" s="1">
        <v>0</v>
      </c>
    </row>
    <row r="358" spans="1:9" hidden="1" x14ac:dyDescent="0.2">
      <c r="A358" t="s">
        <v>15</v>
      </c>
      <c r="B358" t="s">
        <v>16</v>
      </c>
      <c r="C358" t="s">
        <v>51</v>
      </c>
      <c r="D358" t="s">
        <v>23</v>
      </c>
      <c r="E358" s="1">
        <v>170005</v>
      </c>
      <c r="F358" s="1">
        <v>5</v>
      </c>
      <c r="G358" s="1">
        <v>0</v>
      </c>
      <c r="H358" s="1">
        <v>170000</v>
      </c>
      <c r="I358" s="1">
        <v>0</v>
      </c>
    </row>
    <row r="359" spans="1:9" hidden="1" x14ac:dyDescent="0.2">
      <c r="A359" t="s">
        <v>18</v>
      </c>
      <c r="B359" t="s">
        <v>19</v>
      </c>
      <c r="C359" t="s">
        <v>11</v>
      </c>
      <c r="D359" t="s">
        <v>25</v>
      </c>
      <c r="E359" s="1">
        <v>24700</v>
      </c>
      <c r="F359" s="1">
        <v>24700</v>
      </c>
      <c r="G359" s="1">
        <v>0</v>
      </c>
      <c r="H359" s="1">
        <v>0</v>
      </c>
      <c r="I359" s="1">
        <v>0</v>
      </c>
    </row>
    <row r="360" spans="1:9" hidden="1" x14ac:dyDescent="0.2">
      <c r="A360" t="s">
        <v>9</v>
      </c>
      <c r="B360" t="s">
        <v>10</v>
      </c>
      <c r="C360" t="s">
        <v>46</v>
      </c>
      <c r="D360" t="s">
        <v>26</v>
      </c>
      <c r="E360" s="1">
        <v>24255</v>
      </c>
      <c r="F360" s="1">
        <v>1000</v>
      </c>
      <c r="G360" s="1">
        <v>0</v>
      </c>
      <c r="H360" s="1">
        <v>19600</v>
      </c>
      <c r="I360" s="1">
        <v>3655</v>
      </c>
    </row>
    <row r="361" spans="1:9" hidden="1" x14ac:dyDescent="0.2">
      <c r="A361" t="s">
        <v>15</v>
      </c>
      <c r="B361" t="s">
        <v>16</v>
      </c>
      <c r="C361" t="s">
        <v>52</v>
      </c>
      <c r="D361" t="s">
        <v>26</v>
      </c>
      <c r="E361" s="1">
        <v>175100</v>
      </c>
      <c r="F361" s="1">
        <v>40000</v>
      </c>
      <c r="G361" s="1">
        <v>250</v>
      </c>
      <c r="H361" s="1">
        <v>134100</v>
      </c>
      <c r="I361" s="1">
        <v>750</v>
      </c>
    </row>
    <row r="362" spans="1:9" hidden="1" x14ac:dyDescent="0.2">
      <c r="A362" t="s">
        <v>15</v>
      </c>
      <c r="B362" t="s">
        <v>16</v>
      </c>
      <c r="C362" t="s">
        <v>52</v>
      </c>
      <c r="D362" t="s">
        <v>23</v>
      </c>
      <c r="E362" s="1">
        <v>190005</v>
      </c>
      <c r="F362" s="1">
        <v>5</v>
      </c>
      <c r="G362" s="1">
        <v>0</v>
      </c>
      <c r="H362" s="1">
        <v>190000</v>
      </c>
      <c r="I362" s="1">
        <v>0</v>
      </c>
    </row>
    <row r="363" spans="1:9" hidden="1" x14ac:dyDescent="0.2">
      <c r="A363" t="s">
        <v>9</v>
      </c>
      <c r="B363" t="s">
        <v>10</v>
      </c>
      <c r="C363" t="s">
        <v>65</v>
      </c>
      <c r="D363" t="s">
        <v>26</v>
      </c>
      <c r="E363" s="1">
        <v>24000</v>
      </c>
      <c r="F363" s="1">
        <v>1000</v>
      </c>
      <c r="G363" s="1">
        <v>0</v>
      </c>
      <c r="H363" s="1">
        <v>23000</v>
      </c>
      <c r="I363" s="1">
        <v>0</v>
      </c>
    </row>
    <row r="364" spans="1:9" hidden="1" x14ac:dyDescent="0.2">
      <c r="A364" t="s">
        <v>9</v>
      </c>
      <c r="B364" t="s">
        <v>10</v>
      </c>
      <c r="C364" t="s">
        <v>67</v>
      </c>
      <c r="D364" t="s">
        <v>50</v>
      </c>
      <c r="E364" s="1">
        <v>24000</v>
      </c>
      <c r="F364" s="1">
        <v>0</v>
      </c>
      <c r="G364" s="1">
        <v>0</v>
      </c>
      <c r="H364" s="1">
        <v>24000</v>
      </c>
      <c r="I364" s="1">
        <v>0</v>
      </c>
    </row>
    <row r="365" spans="1:9" hidden="1" x14ac:dyDescent="0.2">
      <c r="A365" t="s">
        <v>13</v>
      </c>
      <c r="B365" t="s">
        <v>14</v>
      </c>
      <c r="C365" t="s">
        <v>49</v>
      </c>
      <c r="D365" t="s">
        <v>26</v>
      </c>
      <c r="E365" s="1">
        <v>23100</v>
      </c>
      <c r="F365" s="1">
        <v>250</v>
      </c>
      <c r="G365" s="1">
        <v>0</v>
      </c>
      <c r="H365" s="1">
        <v>22600</v>
      </c>
      <c r="I365" s="1">
        <v>250</v>
      </c>
    </row>
    <row r="366" spans="1:9" hidden="1" x14ac:dyDescent="0.2">
      <c r="A366" t="s">
        <v>9</v>
      </c>
      <c r="B366" t="s">
        <v>10</v>
      </c>
      <c r="C366" t="s">
        <v>51</v>
      </c>
      <c r="D366" t="s">
        <v>28</v>
      </c>
      <c r="E366" s="1">
        <v>23000</v>
      </c>
      <c r="F366" s="1">
        <v>23000</v>
      </c>
      <c r="G366" s="1">
        <v>0</v>
      </c>
      <c r="H366" s="1">
        <v>0</v>
      </c>
      <c r="I366" s="1">
        <v>0</v>
      </c>
    </row>
    <row r="367" spans="1:9" hidden="1" x14ac:dyDescent="0.2">
      <c r="A367" t="s">
        <v>13</v>
      </c>
      <c r="B367" t="s">
        <v>14</v>
      </c>
      <c r="C367" t="s">
        <v>69</v>
      </c>
      <c r="D367" t="s">
        <v>43</v>
      </c>
      <c r="E367" s="1">
        <v>22305</v>
      </c>
      <c r="F367" s="1">
        <v>1300</v>
      </c>
      <c r="G367" s="1">
        <v>0</v>
      </c>
      <c r="H367" s="1">
        <v>21000</v>
      </c>
      <c r="I367" s="1">
        <v>5</v>
      </c>
    </row>
    <row r="368" spans="1:9" hidden="1" x14ac:dyDescent="0.2">
      <c r="A368" t="s">
        <v>9</v>
      </c>
      <c r="B368" t="s">
        <v>10</v>
      </c>
      <c r="C368" t="s">
        <v>61</v>
      </c>
      <c r="D368" t="s">
        <v>50</v>
      </c>
      <c r="E368" s="1">
        <v>22000</v>
      </c>
      <c r="F368" s="1">
        <v>0</v>
      </c>
      <c r="G368" s="1">
        <v>0</v>
      </c>
      <c r="H368" s="1">
        <v>22000</v>
      </c>
      <c r="I368" s="1">
        <v>0</v>
      </c>
    </row>
    <row r="369" spans="1:9" hidden="1" x14ac:dyDescent="0.2">
      <c r="A369" t="s">
        <v>18</v>
      </c>
      <c r="B369" t="s">
        <v>19</v>
      </c>
      <c r="C369" t="s">
        <v>61</v>
      </c>
      <c r="D369" t="s">
        <v>26</v>
      </c>
      <c r="E369" s="1">
        <v>22000</v>
      </c>
      <c r="F369" s="1">
        <v>0</v>
      </c>
      <c r="G369" s="1">
        <v>0</v>
      </c>
      <c r="H369" s="1">
        <v>22000</v>
      </c>
      <c r="I369" s="1">
        <v>0</v>
      </c>
    </row>
    <row r="370" spans="1:9" hidden="1" x14ac:dyDescent="0.2">
      <c r="A370" t="s">
        <v>13</v>
      </c>
      <c r="B370" t="s">
        <v>14</v>
      </c>
      <c r="C370" t="s">
        <v>69</v>
      </c>
      <c r="D370" t="s">
        <v>29</v>
      </c>
      <c r="E370" s="1">
        <v>21800</v>
      </c>
      <c r="F370" s="1">
        <v>21800</v>
      </c>
      <c r="G370" s="1">
        <v>0</v>
      </c>
      <c r="H370" s="1">
        <v>0</v>
      </c>
      <c r="I370" s="1">
        <v>0</v>
      </c>
    </row>
    <row r="371" spans="1:9" hidden="1" x14ac:dyDescent="0.2">
      <c r="A371" t="s">
        <v>9</v>
      </c>
      <c r="B371" t="s">
        <v>10</v>
      </c>
      <c r="C371" t="s">
        <v>11</v>
      </c>
      <c r="D371" t="s">
        <v>26</v>
      </c>
      <c r="E371" s="1">
        <v>21505</v>
      </c>
      <c r="F371" s="1">
        <v>1250</v>
      </c>
      <c r="G371" s="1">
        <v>0</v>
      </c>
      <c r="H371" s="1">
        <v>16500</v>
      </c>
      <c r="I371" s="1">
        <v>3755</v>
      </c>
    </row>
    <row r="372" spans="1:9" hidden="1" x14ac:dyDescent="0.2">
      <c r="A372" t="s">
        <v>9</v>
      </c>
      <c r="B372" t="s">
        <v>10</v>
      </c>
      <c r="C372" t="s">
        <v>65</v>
      </c>
      <c r="D372" t="s">
        <v>54</v>
      </c>
      <c r="E372" s="1">
        <v>21010</v>
      </c>
      <c r="F372" s="1">
        <v>5</v>
      </c>
      <c r="G372" s="1">
        <v>0</v>
      </c>
      <c r="H372" s="1">
        <v>21000</v>
      </c>
      <c r="I372" s="1">
        <v>5</v>
      </c>
    </row>
    <row r="373" spans="1:9" hidden="1" x14ac:dyDescent="0.2">
      <c r="A373" t="s">
        <v>18</v>
      </c>
      <c r="B373" t="s">
        <v>19</v>
      </c>
      <c r="C373" t="s">
        <v>46</v>
      </c>
      <c r="D373" t="s">
        <v>26</v>
      </c>
      <c r="E373" s="1">
        <v>20550</v>
      </c>
      <c r="F373" s="1">
        <v>13250</v>
      </c>
      <c r="G373" s="1">
        <v>0</v>
      </c>
      <c r="H373" s="1">
        <v>3100</v>
      </c>
      <c r="I373" s="1">
        <v>4200</v>
      </c>
    </row>
    <row r="374" spans="1:9" hidden="1" x14ac:dyDescent="0.2">
      <c r="A374" t="s">
        <v>13</v>
      </c>
      <c r="B374" t="s">
        <v>14</v>
      </c>
      <c r="C374" t="s">
        <v>67</v>
      </c>
      <c r="D374" t="s">
        <v>43</v>
      </c>
      <c r="E374" s="1">
        <v>20100</v>
      </c>
      <c r="F374" s="1">
        <v>1100</v>
      </c>
      <c r="G374" s="1">
        <v>0</v>
      </c>
      <c r="H374" s="1">
        <v>19000</v>
      </c>
      <c r="I374" s="1">
        <v>0</v>
      </c>
    </row>
    <row r="375" spans="1:9" hidden="1" x14ac:dyDescent="0.2">
      <c r="A375" t="s">
        <v>18</v>
      </c>
      <c r="B375" t="s">
        <v>19</v>
      </c>
      <c r="C375" t="s">
        <v>52</v>
      </c>
      <c r="D375" t="s">
        <v>23</v>
      </c>
      <c r="E375" s="1">
        <v>20005</v>
      </c>
      <c r="F375" s="1">
        <v>5</v>
      </c>
      <c r="G375" s="1">
        <v>0</v>
      </c>
      <c r="H375" s="1">
        <v>20000</v>
      </c>
      <c r="I375" s="1">
        <v>0</v>
      </c>
    </row>
    <row r="376" spans="1:9" hidden="1" x14ac:dyDescent="0.2">
      <c r="A376" t="s">
        <v>18</v>
      </c>
      <c r="B376" t="s">
        <v>19</v>
      </c>
      <c r="C376" t="s">
        <v>67</v>
      </c>
      <c r="D376" t="s">
        <v>21</v>
      </c>
      <c r="E376" s="1">
        <v>18000</v>
      </c>
      <c r="F376" s="1">
        <v>0</v>
      </c>
      <c r="G376" s="1">
        <v>0</v>
      </c>
      <c r="H376" s="1">
        <v>18000</v>
      </c>
      <c r="I376" s="1">
        <v>0</v>
      </c>
    </row>
    <row r="377" spans="1:9" hidden="1" x14ac:dyDescent="0.2">
      <c r="A377" t="s">
        <v>9</v>
      </c>
      <c r="B377" t="s">
        <v>10</v>
      </c>
      <c r="C377" t="s">
        <v>69</v>
      </c>
      <c r="D377" t="s">
        <v>26</v>
      </c>
      <c r="E377" s="1">
        <v>19900</v>
      </c>
      <c r="F377" s="1">
        <v>500</v>
      </c>
      <c r="G377" s="1">
        <v>0</v>
      </c>
      <c r="H377" s="1">
        <v>19400</v>
      </c>
      <c r="I377" s="1">
        <v>0</v>
      </c>
    </row>
    <row r="378" spans="1:9" hidden="1" x14ac:dyDescent="0.2">
      <c r="A378" t="s">
        <v>9</v>
      </c>
      <c r="B378" t="s">
        <v>10</v>
      </c>
      <c r="C378" t="s">
        <v>46</v>
      </c>
      <c r="D378" t="s">
        <v>30</v>
      </c>
      <c r="E378" s="1">
        <v>19000</v>
      </c>
      <c r="F378" s="1">
        <v>0</v>
      </c>
      <c r="G378" s="1">
        <v>0</v>
      </c>
      <c r="H378" s="1">
        <v>19000</v>
      </c>
      <c r="I378" s="1">
        <v>0</v>
      </c>
    </row>
    <row r="379" spans="1:9" hidden="1" x14ac:dyDescent="0.2">
      <c r="A379" t="s">
        <v>9</v>
      </c>
      <c r="B379" t="s">
        <v>10</v>
      </c>
      <c r="C379" t="s">
        <v>69</v>
      </c>
      <c r="D379" t="s">
        <v>21</v>
      </c>
      <c r="E379" s="1">
        <v>500005</v>
      </c>
      <c r="F379" s="1">
        <v>5</v>
      </c>
      <c r="G379" s="1">
        <v>0</v>
      </c>
      <c r="H379" s="1">
        <v>500000</v>
      </c>
      <c r="I379" s="1">
        <v>0</v>
      </c>
    </row>
    <row r="380" spans="1:9" hidden="1" x14ac:dyDescent="0.2">
      <c r="A380" t="s">
        <v>13</v>
      </c>
      <c r="B380" t="s">
        <v>14</v>
      </c>
      <c r="C380" t="s">
        <v>65</v>
      </c>
      <c r="D380" t="s">
        <v>43</v>
      </c>
      <c r="E380" s="1">
        <v>19000</v>
      </c>
      <c r="F380" s="1">
        <v>0</v>
      </c>
      <c r="G380" s="1">
        <v>0</v>
      </c>
      <c r="H380" s="1">
        <v>19000</v>
      </c>
      <c r="I380" s="1">
        <v>0</v>
      </c>
    </row>
    <row r="381" spans="1:9" hidden="1" x14ac:dyDescent="0.2">
      <c r="A381" t="s">
        <v>9</v>
      </c>
      <c r="B381" t="s">
        <v>10</v>
      </c>
      <c r="C381" t="s">
        <v>69</v>
      </c>
      <c r="D381" t="s">
        <v>50</v>
      </c>
      <c r="E381" s="1">
        <v>19000</v>
      </c>
      <c r="F381" s="1">
        <v>0</v>
      </c>
      <c r="G381" s="1">
        <v>0</v>
      </c>
      <c r="H381" s="1">
        <v>19000</v>
      </c>
      <c r="I381" s="1">
        <v>0</v>
      </c>
    </row>
    <row r="382" spans="1:9" hidden="1" x14ac:dyDescent="0.2">
      <c r="A382" t="s">
        <v>9</v>
      </c>
      <c r="B382" t="s">
        <v>10</v>
      </c>
      <c r="C382" t="s">
        <v>57</v>
      </c>
      <c r="D382" t="s">
        <v>28</v>
      </c>
      <c r="E382" s="1">
        <v>18850</v>
      </c>
      <c r="F382" s="1">
        <v>18600</v>
      </c>
      <c r="G382" s="1">
        <v>0</v>
      </c>
      <c r="H382" s="1">
        <v>0</v>
      </c>
      <c r="I382" s="1">
        <v>250</v>
      </c>
    </row>
    <row r="383" spans="1:9" hidden="1" x14ac:dyDescent="0.2">
      <c r="A383" t="s">
        <v>9</v>
      </c>
      <c r="B383" t="s">
        <v>10</v>
      </c>
      <c r="C383" t="s">
        <v>46</v>
      </c>
      <c r="D383" t="s">
        <v>28</v>
      </c>
      <c r="E383" s="1">
        <v>18000</v>
      </c>
      <c r="F383" s="1">
        <v>18000</v>
      </c>
      <c r="G383" s="1">
        <v>0</v>
      </c>
      <c r="H383" s="1">
        <v>0</v>
      </c>
      <c r="I383" s="1">
        <v>0</v>
      </c>
    </row>
    <row r="384" spans="1:9" hidden="1" x14ac:dyDescent="0.2">
      <c r="A384" t="s">
        <v>15</v>
      </c>
      <c r="B384" t="s">
        <v>16</v>
      </c>
      <c r="C384" t="s">
        <v>52</v>
      </c>
      <c r="D384" t="s">
        <v>21</v>
      </c>
      <c r="E384" s="1">
        <v>200000</v>
      </c>
      <c r="F384" s="1">
        <v>0</v>
      </c>
      <c r="G384" s="1">
        <v>0</v>
      </c>
      <c r="H384" s="1">
        <v>200000</v>
      </c>
      <c r="I384" s="1">
        <v>0</v>
      </c>
    </row>
    <row r="385" spans="1:9" hidden="1" x14ac:dyDescent="0.2">
      <c r="A385" t="s">
        <v>13</v>
      </c>
      <c r="B385" t="s">
        <v>14</v>
      </c>
      <c r="C385" t="s">
        <v>69</v>
      </c>
      <c r="D385" t="s">
        <v>21</v>
      </c>
      <c r="E385" s="1">
        <v>76005</v>
      </c>
      <c r="F385" s="1">
        <v>5</v>
      </c>
      <c r="G385" s="1">
        <v>0</v>
      </c>
      <c r="H385" s="1">
        <v>76000</v>
      </c>
      <c r="I385" s="1">
        <v>0</v>
      </c>
    </row>
    <row r="386" spans="1:9" hidden="1" x14ac:dyDescent="0.2">
      <c r="A386" t="s">
        <v>13</v>
      </c>
      <c r="B386" t="s">
        <v>14</v>
      </c>
      <c r="C386" t="s">
        <v>65</v>
      </c>
      <c r="D386" t="s">
        <v>26</v>
      </c>
      <c r="E386" s="1">
        <v>17800</v>
      </c>
      <c r="F386" s="1">
        <v>500</v>
      </c>
      <c r="G386" s="1">
        <v>0</v>
      </c>
      <c r="H386" s="1">
        <v>17300</v>
      </c>
      <c r="I386" s="1">
        <v>0</v>
      </c>
    </row>
    <row r="387" spans="1:9" hidden="1" x14ac:dyDescent="0.2">
      <c r="A387" t="s">
        <v>9</v>
      </c>
      <c r="B387" t="s">
        <v>10</v>
      </c>
      <c r="C387" t="s">
        <v>11</v>
      </c>
      <c r="D387" t="s">
        <v>28</v>
      </c>
      <c r="E387" s="1">
        <v>17000</v>
      </c>
      <c r="F387" s="1">
        <v>17000</v>
      </c>
      <c r="G387" s="1">
        <v>0</v>
      </c>
      <c r="H387" s="1">
        <v>0</v>
      </c>
      <c r="I387" s="1">
        <v>0</v>
      </c>
    </row>
    <row r="388" spans="1:9" hidden="1" x14ac:dyDescent="0.2">
      <c r="A388" t="s">
        <v>13</v>
      </c>
      <c r="B388" t="s">
        <v>14</v>
      </c>
      <c r="C388" t="s">
        <v>11</v>
      </c>
      <c r="D388" t="s">
        <v>29</v>
      </c>
      <c r="E388" s="1">
        <v>17000</v>
      </c>
      <c r="F388" s="1">
        <v>17000</v>
      </c>
      <c r="G388" s="1">
        <v>0</v>
      </c>
      <c r="H388" s="1">
        <v>0</v>
      </c>
      <c r="I388" s="1">
        <v>0</v>
      </c>
    </row>
    <row r="389" spans="1:9" hidden="1" x14ac:dyDescent="0.2">
      <c r="A389" t="s">
        <v>13</v>
      </c>
      <c r="B389" t="s">
        <v>14</v>
      </c>
      <c r="C389" t="s">
        <v>46</v>
      </c>
      <c r="D389" t="s">
        <v>29</v>
      </c>
      <c r="E389" s="1">
        <v>17000</v>
      </c>
      <c r="F389" s="1">
        <v>17000</v>
      </c>
      <c r="G389" s="1">
        <v>0</v>
      </c>
      <c r="H389" s="1">
        <v>0</v>
      </c>
      <c r="I389" s="1">
        <v>0</v>
      </c>
    </row>
    <row r="390" spans="1:9" hidden="1" x14ac:dyDescent="0.2">
      <c r="A390" t="s">
        <v>9</v>
      </c>
      <c r="B390" t="s">
        <v>10</v>
      </c>
      <c r="C390" t="s">
        <v>52</v>
      </c>
      <c r="D390" t="s">
        <v>28</v>
      </c>
      <c r="E390" s="1">
        <v>17000</v>
      </c>
      <c r="F390" s="1">
        <v>17000</v>
      </c>
      <c r="G390" s="1">
        <v>0</v>
      </c>
      <c r="H390" s="1">
        <v>0</v>
      </c>
      <c r="I390" s="1">
        <v>0</v>
      </c>
    </row>
    <row r="391" spans="1:9" hidden="1" x14ac:dyDescent="0.2">
      <c r="A391" t="s">
        <v>18</v>
      </c>
      <c r="B391" t="s">
        <v>19</v>
      </c>
      <c r="C391" t="s">
        <v>69</v>
      </c>
      <c r="D391" t="s">
        <v>21</v>
      </c>
      <c r="E391" s="1">
        <v>17000</v>
      </c>
      <c r="F391" s="1">
        <v>0</v>
      </c>
      <c r="G391" s="1">
        <v>0</v>
      </c>
      <c r="H391" s="1">
        <v>17000</v>
      </c>
      <c r="I391" s="1">
        <v>0</v>
      </c>
    </row>
    <row r="392" spans="1:9" hidden="1" x14ac:dyDescent="0.2">
      <c r="A392" t="s">
        <v>9</v>
      </c>
      <c r="B392" t="s">
        <v>10</v>
      </c>
      <c r="C392" t="s">
        <v>49</v>
      </c>
      <c r="D392" t="s">
        <v>26</v>
      </c>
      <c r="E392" s="1">
        <v>16950</v>
      </c>
      <c r="F392" s="1">
        <v>1450</v>
      </c>
      <c r="G392" s="1">
        <v>0</v>
      </c>
      <c r="H392" s="1">
        <v>12200</v>
      </c>
      <c r="I392" s="1">
        <v>3300</v>
      </c>
    </row>
    <row r="393" spans="1:9" hidden="1" x14ac:dyDescent="0.2">
      <c r="A393" t="s">
        <v>13</v>
      </c>
      <c r="B393" t="s">
        <v>14</v>
      </c>
      <c r="C393" t="s">
        <v>69</v>
      </c>
      <c r="D393" t="s">
        <v>26</v>
      </c>
      <c r="E393" s="1">
        <v>16250</v>
      </c>
      <c r="F393" s="1">
        <v>9650</v>
      </c>
      <c r="G393" s="1">
        <v>0</v>
      </c>
      <c r="H393" s="1">
        <v>6600</v>
      </c>
      <c r="I393" s="1">
        <v>0</v>
      </c>
    </row>
    <row r="394" spans="1:9" hidden="1" x14ac:dyDescent="0.2">
      <c r="A394" t="s">
        <v>18</v>
      </c>
      <c r="B394" t="s">
        <v>19</v>
      </c>
      <c r="C394" t="s">
        <v>65</v>
      </c>
      <c r="D394" t="s">
        <v>23</v>
      </c>
      <c r="E394" s="1">
        <v>16005</v>
      </c>
      <c r="F394" s="1">
        <v>5</v>
      </c>
      <c r="G394" s="1">
        <v>0</v>
      </c>
      <c r="H394" s="1">
        <v>16000</v>
      </c>
      <c r="I394" s="1">
        <v>0</v>
      </c>
    </row>
    <row r="395" spans="1:9" hidden="1" x14ac:dyDescent="0.2">
      <c r="A395" t="s">
        <v>9</v>
      </c>
      <c r="B395" t="s">
        <v>10</v>
      </c>
      <c r="C395" t="s">
        <v>69</v>
      </c>
      <c r="D395" t="s">
        <v>43</v>
      </c>
      <c r="E395" s="1">
        <v>16005</v>
      </c>
      <c r="F395" s="1">
        <v>750</v>
      </c>
      <c r="G395" s="1">
        <v>0</v>
      </c>
      <c r="H395" s="1">
        <v>15000</v>
      </c>
      <c r="I395" s="1">
        <v>255</v>
      </c>
    </row>
    <row r="396" spans="1:9" hidden="1" x14ac:dyDescent="0.2">
      <c r="A396" t="s">
        <v>9</v>
      </c>
      <c r="B396" t="s">
        <v>10</v>
      </c>
      <c r="C396" t="s">
        <v>67</v>
      </c>
      <c r="D396" t="s">
        <v>43</v>
      </c>
      <c r="E396" s="1">
        <v>16000</v>
      </c>
      <c r="F396" s="1">
        <v>750</v>
      </c>
      <c r="G396" s="1">
        <v>0</v>
      </c>
      <c r="H396" s="1">
        <v>15000</v>
      </c>
      <c r="I396" s="1">
        <v>250</v>
      </c>
    </row>
    <row r="397" spans="1:9" hidden="1" x14ac:dyDescent="0.2">
      <c r="A397" t="s">
        <v>9</v>
      </c>
      <c r="B397" t="s">
        <v>10</v>
      </c>
      <c r="C397" t="s">
        <v>69</v>
      </c>
      <c r="D397" t="s">
        <v>28</v>
      </c>
      <c r="E397" s="1">
        <v>15600</v>
      </c>
      <c r="F397" s="1">
        <v>15600</v>
      </c>
      <c r="G397" s="1">
        <v>0</v>
      </c>
      <c r="H397" s="1">
        <v>0</v>
      </c>
      <c r="I397" s="1">
        <v>0</v>
      </c>
    </row>
    <row r="398" spans="1:9" hidden="1" x14ac:dyDescent="0.2">
      <c r="A398" t="s">
        <v>13</v>
      </c>
      <c r="B398" t="s">
        <v>14</v>
      </c>
      <c r="C398" t="s">
        <v>52</v>
      </c>
      <c r="D398" t="s">
        <v>30</v>
      </c>
      <c r="E398" s="1">
        <v>15005</v>
      </c>
      <c r="F398" s="1">
        <v>5</v>
      </c>
      <c r="G398" s="1">
        <v>0</v>
      </c>
      <c r="H398" s="1">
        <v>15000</v>
      </c>
      <c r="I398" s="1">
        <v>0</v>
      </c>
    </row>
    <row r="399" spans="1:9" hidden="1" x14ac:dyDescent="0.2">
      <c r="A399" t="s">
        <v>18</v>
      </c>
      <c r="B399" t="s">
        <v>19</v>
      </c>
      <c r="C399" t="s">
        <v>57</v>
      </c>
      <c r="D399" t="s">
        <v>22</v>
      </c>
      <c r="E399" s="1">
        <v>15005</v>
      </c>
      <c r="F399" s="1">
        <v>5</v>
      </c>
      <c r="G399" s="1">
        <v>0</v>
      </c>
      <c r="H399" s="1">
        <v>15000</v>
      </c>
      <c r="I399" s="1">
        <v>0</v>
      </c>
    </row>
    <row r="400" spans="1:9" hidden="1" x14ac:dyDescent="0.2">
      <c r="A400" t="s">
        <v>18</v>
      </c>
      <c r="B400" t="s">
        <v>19</v>
      </c>
      <c r="C400" t="s">
        <v>61</v>
      </c>
      <c r="D400" t="s">
        <v>23</v>
      </c>
      <c r="E400" s="1">
        <v>15005</v>
      </c>
      <c r="F400" s="1">
        <v>5</v>
      </c>
      <c r="G400" s="1">
        <v>0</v>
      </c>
      <c r="H400" s="1">
        <v>15000</v>
      </c>
      <c r="I400" s="1">
        <v>0</v>
      </c>
    </row>
    <row r="401" spans="1:9" hidden="1" x14ac:dyDescent="0.2">
      <c r="A401" t="s">
        <v>18</v>
      </c>
      <c r="B401" t="s">
        <v>19</v>
      </c>
      <c r="C401" t="s">
        <v>67</v>
      </c>
      <c r="D401" t="s">
        <v>23</v>
      </c>
      <c r="E401" s="1">
        <v>15005</v>
      </c>
      <c r="F401" s="1">
        <v>5</v>
      </c>
      <c r="G401" s="1">
        <v>0</v>
      </c>
      <c r="H401" s="1">
        <v>15000</v>
      </c>
      <c r="I401" s="1">
        <v>0</v>
      </c>
    </row>
    <row r="402" spans="1:9" hidden="1" x14ac:dyDescent="0.2">
      <c r="A402" t="s">
        <v>18</v>
      </c>
      <c r="B402" t="s">
        <v>19</v>
      </c>
      <c r="C402" t="s">
        <v>69</v>
      </c>
      <c r="D402" t="s">
        <v>23</v>
      </c>
      <c r="E402" s="1">
        <v>15005</v>
      </c>
      <c r="F402" s="1">
        <v>5</v>
      </c>
      <c r="G402" s="1">
        <v>0</v>
      </c>
      <c r="H402" s="1">
        <v>15000</v>
      </c>
      <c r="I402" s="1">
        <v>0</v>
      </c>
    </row>
    <row r="403" spans="1:9" hidden="1" x14ac:dyDescent="0.2">
      <c r="A403" t="s">
        <v>9</v>
      </c>
      <c r="B403" t="s">
        <v>10</v>
      </c>
      <c r="C403" t="s">
        <v>49</v>
      </c>
      <c r="D403" t="s">
        <v>28</v>
      </c>
      <c r="E403" s="1">
        <v>15000</v>
      </c>
      <c r="F403" s="1">
        <v>15000</v>
      </c>
      <c r="G403" s="1">
        <v>0</v>
      </c>
      <c r="H403" s="1">
        <v>0</v>
      </c>
      <c r="I403" s="1">
        <v>0</v>
      </c>
    </row>
    <row r="404" spans="1:9" hidden="1" x14ac:dyDescent="0.2">
      <c r="A404" t="s">
        <v>9</v>
      </c>
      <c r="B404" t="s">
        <v>10</v>
      </c>
      <c r="C404" t="s">
        <v>67</v>
      </c>
      <c r="D404" t="s">
        <v>28</v>
      </c>
      <c r="E404" s="1">
        <v>14500</v>
      </c>
      <c r="F404" s="1">
        <v>14500</v>
      </c>
      <c r="G404" s="1">
        <v>0</v>
      </c>
      <c r="H404" s="1">
        <v>0</v>
      </c>
      <c r="I404" s="1">
        <v>0</v>
      </c>
    </row>
    <row r="405" spans="1:9" x14ac:dyDescent="0.2">
      <c r="A405" t="s">
        <v>15</v>
      </c>
      <c r="B405" t="s">
        <v>16</v>
      </c>
      <c r="C405" t="s">
        <v>57</v>
      </c>
      <c r="D405" t="s">
        <v>20</v>
      </c>
      <c r="E405" s="1">
        <v>350010</v>
      </c>
      <c r="F405" s="1">
        <v>0</v>
      </c>
      <c r="G405" s="1">
        <v>0</v>
      </c>
      <c r="H405" s="1">
        <v>350000</v>
      </c>
      <c r="I405" s="1">
        <v>10</v>
      </c>
    </row>
    <row r="406" spans="1:9" hidden="1" x14ac:dyDescent="0.2">
      <c r="A406" t="s">
        <v>9</v>
      </c>
      <c r="B406" t="s">
        <v>10</v>
      </c>
      <c r="C406" t="s">
        <v>67</v>
      </c>
      <c r="D406" t="s">
        <v>48</v>
      </c>
      <c r="E406" s="1">
        <v>13250</v>
      </c>
      <c r="F406" s="1">
        <v>0</v>
      </c>
      <c r="G406" s="1">
        <v>0</v>
      </c>
      <c r="H406" s="1">
        <v>250</v>
      </c>
      <c r="I406" s="1">
        <v>13000</v>
      </c>
    </row>
    <row r="407" spans="1:9" hidden="1" x14ac:dyDescent="0.2">
      <c r="A407" t="s">
        <v>9</v>
      </c>
      <c r="B407" t="s">
        <v>10</v>
      </c>
      <c r="C407" t="s">
        <v>61</v>
      </c>
      <c r="D407" t="s">
        <v>28</v>
      </c>
      <c r="E407" s="1">
        <v>13200</v>
      </c>
      <c r="F407" s="1">
        <v>13200</v>
      </c>
      <c r="G407" s="1">
        <v>0</v>
      </c>
      <c r="H407" s="1">
        <v>0</v>
      </c>
      <c r="I407" s="1">
        <v>0</v>
      </c>
    </row>
    <row r="408" spans="1:9" hidden="1" x14ac:dyDescent="0.2">
      <c r="A408" t="s">
        <v>13</v>
      </c>
      <c r="B408" t="s">
        <v>14</v>
      </c>
      <c r="C408" t="s">
        <v>65</v>
      </c>
      <c r="D408" t="s">
        <v>29</v>
      </c>
      <c r="E408" s="1">
        <v>13000</v>
      </c>
      <c r="F408" s="1">
        <v>13000</v>
      </c>
      <c r="G408" s="1">
        <v>0</v>
      </c>
      <c r="H408" s="1">
        <v>0</v>
      </c>
      <c r="I408" s="1">
        <v>0</v>
      </c>
    </row>
    <row r="409" spans="1:9" hidden="1" x14ac:dyDescent="0.2">
      <c r="A409" t="s">
        <v>13</v>
      </c>
      <c r="B409" t="s">
        <v>14</v>
      </c>
      <c r="C409" t="s">
        <v>67</v>
      </c>
      <c r="D409" t="s">
        <v>29</v>
      </c>
      <c r="E409" s="1">
        <v>13000</v>
      </c>
      <c r="F409" s="1">
        <v>13000</v>
      </c>
      <c r="G409" s="1">
        <v>0</v>
      </c>
      <c r="H409" s="1">
        <v>0</v>
      </c>
      <c r="I409" s="1">
        <v>0</v>
      </c>
    </row>
    <row r="410" spans="1:9" hidden="1" x14ac:dyDescent="0.2">
      <c r="A410" t="s">
        <v>9</v>
      </c>
      <c r="B410" t="s">
        <v>10</v>
      </c>
      <c r="C410" t="s">
        <v>65</v>
      </c>
      <c r="D410" t="s">
        <v>28</v>
      </c>
      <c r="E410" s="1">
        <v>12400</v>
      </c>
      <c r="F410" s="1">
        <v>12400</v>
      </c>
      <c r="G410" s="1">
        <v>0</v>
      </c>
      <c r="H410" s="1">
        <v>0</v>
      </c>
      <c r="I410" s="1">
        <v>0</v>
      </c>
    </row>
    <row r="411" spans="1:9" hidden="1" x14ac:dyDescent="0.2">
      <c r="A411" t="s">
        <v>13</v>
      </c>
      <c r="B411" t="s">
        <v>14</v>
      </c>
      <c r="C411" t="s">
        <v>57</v>
      </c>
      <c r="D411" t="s">
        <v>29</v>
      </c>
      <c r="E411" s="1">
        <v>12000</v>
      </c>
      <c r="F411" s="1">
        <v>12000</v>
      </c>
      <c r="G411" s="1">
        <v>0</v>
      </c>
      <c r="H411" s="1">
        <v>0</v>
      </c>
      <c r="I411" s="1">
        <v>0</v>
      </c>
    </row>
    <row r="412" spans="1:9" hidden="1" x14ac:dyDescent="0.2">
      <c r="A412" t="s">
        <v>18</v>
      </c>
      <c r="B412" t="s">
        <v>19</v>
      </c>
      <c r="C412" t="s">
        <v>51</v>
      </c>
      <c r="D412" t="s">
        <v>26</v>
      </c>
      <c r="E412" s="1">
        <v>11410</v>
      </c>
      <c r="F412" s="1">
        <v>8410</v>
      </c>
      <c r="G412" s="1">
        <v>0</v>
      </c>
      <c r="H412" s="1">
        <v>3000</v>
      </c>
      <c r="I412" s="1">
        <v>0</v>
      </c>
    </row>
    <row r="413" spans="1:9" hidden="1" x14ac:dyDescent="0.2">
      <c r="A413" t="s">
        <v>13</v>
      </c>
      <c r="B413" t="s">
        <v>14</v>
      </c>
      <c r="C413" t="s">
        <v>11</v>
      </c>
      <c r="D413" t="s">
        <v>30</v>
      </c>
      <c r="E413" s="1">
        <v>11005</v>
      </c>
      <c r="F413" s="1">
        <v>5</v>
      </c>
      <c r="G413" s="1">
        <v>0</v>
      </c>
      <c r="H413" s="1">
        <v>11000</v>
      </c>
      <c r="I413" s="1">
        <v>0</v>
      </c>
    </row>
    <row r="414" spans="1:9" hidden="1" x14ac:dyDescent="0.2">
      <c r="A414" t="s">
        <v>13</v>
      </c>
      <c r="B414" t="s">
        <v>14</v>
      </c>
      <c r="C414" t="s">
        <v>52</v>
      </c>
      <c r="D414" t="s">
        <v>29</v>
      </c>
      <c r="E414" s="1">
        <v>11000</v>
      </c>
      <c r="F414" s="1">
        <v>11000</v>
      </c>
      <c r="G414" s="1">
        <v>0</v>
      </c>
      <c r="H414" s="1">
        <v>0</v>
      </c>
      <c r="I414" s="1">
        <v>0</v>
      </c>
    </row>
    <row r="415" spans="1:9" hidden="1" x14ac:dyDescent="0.2">
      <c r="A415" t="s">
        <v>9</v>
      </c>
      <c r="B415" t="s">
        <v>10</v>
      </c>
      <c r="C415" t="s">
        <v>11</v>
      </c>
      <c r="D415" t="s">
        <v>31</v>
      </c>
      <c r="E415" s="1">
        <v>10955</v>
      </c>
      <c r="F415" s="1">
        <v>10700</v>
      </c>
      <c r="G415" s="1">
        <v>0</v>
      </c>
      <c r="H415" s="1">
        <v>250</v>
      </c>
      <c r="I415" s="1">
        <v>5</v>
      </c>
    </row>
    <row r="416" spans="1:9" hidden="1" x14ac:dyDescent="0.2">
      <c r="A416" t="s">
        <v>9</v>
      </c>
      <c r="B416" t="s">
        <v>10</v>
      </c>
      <c r="C416" t="s">
        <v>46</v>
      </c>
      <c r="D416" t="s">
        <v>31</v>
      </c>
      <c r="E416" s="1">
        <v>10800</v>
      </c>
      <c r="F416" s="1">
        <v>9800</v>
      </c>
      <c r="G416" s="1">
        <v>0</v>
      </c>
      <c r="H416" s="1">
        <v>250</v>
      </c>
      <c r="I416" s="1">
        <v>750</v>
      </c>
    </row>
    <row r="417" spans="1:9" hidden="1" x14ac:dyDescent="0.2">
      <c r="A417" t="s">
        <v>9</v>
      </c>
      <c r="B417" t="s">
        <v>10</v>
      </c>
      <c r="C417" t="s">
        <v>52</v>
      </c>
      <c r="D417" t="s">
        <v>31</v>
      </c>
      <c r="E417" s="1">
        <v>10505</v>
      </c>
      <c r="F417" s="1">
        <v>8900</v>
      </c>
      <c r="G417" s="1">
        <v>0</v>
      </c>
      <c r="H417" s="1">
        <v>5</v>
      </c>
      <c r="I417" s="1">
        <v>1600</v>
      </c>
    </row>
    <row r="418" spans="1:9" hidden="1" x14ac:dyDescent="0.2">
      <c r="A418" t="s">
        <v>9</v>
      </c>
      <c r="B418" t="s">
        <v>10</v>
      </c>
      <c r="C418" t="s">
        <v>49</v>
      </c>
      <c r="D418" t="s">
        <v>31</v>
      </c>
      <c r="E418" s="1">
        <v>10300</v>
      </c>
      <c r="F418" s="1">
        <v>8300</v>
      </c>
      <c r="G418" s="1">
        <v>0</v>
      </c>
      <c r="H418" s="1">
        <v>2000</v>
      </c>
      <c r="I418" s="1">
        <v>0</v>
      </c>
    </row>
    <row r="419" spans="1:9" hidden="1" x14ac:dyDescent="0.2">
      <c r="A419" t="s">
        <v>9</v>
      </c>
      <c r="B419" t="s">
        <v>10</v>
      </c>
      <c r="C419" t="s">
        <v>11</v>
      </c>
      <c r="D419" t="s">
        <v>32</v>
      </c>
      <c r="E419" s="1">
        <v>10250</v>
      </c>
      <c r="F419" s="1">
        <v>9750</v>
      </c>
      <c r="G419" s="1">
        <v>0</v>
      </c>
      <c r="H419" s="1">
        <v>250</v>
      </c>
      <c r="I419" s="1">
        <v>250</v>
      </c>
    </row>
    <row r="420" spans="1:9" x14ac:dyDescent="0.2">
      <c r="A420" t="s">
        <v>15</v>
      </c>
      <c r="B420" t="s">
        <v>16</v>
      </c>
      <c r="C420" t="s">
        <v>57</v>
      </c>
      <c r="D420" t="s">
        <v>12</v>
      </c>
      <c r="E420" s="1">
        <v>1613669.8</v>
      </c>
      <c r="F420" s="1">
        <v>167.9</v>
      </c>
      <c r="G420" s="1">
        <v>1.1000000000000001</v>
      </c>
      <c r="H420" s="1">
        <v>1607000</v>
      </c>
      <c r="I420" s="1">
        <v>6500.8</v>
      </c>
    </row>
    <row r="421" spans="1:9" hidden="1" x14ac:dyDescent="0.2">
      <c r="A421" t="s">
        <v>18</v>
      </c>
      <c r="B421" t="s">
        <v>19</v>
      </c>
      <c r="C421" t="s">
        <v>52</v>
      </c>
      <c r="D421" t="s">
        <v>22</v>
      </c>
      <c r="E421" s="1">
        <v>9805</v>
      </c>
      <c r="F421" s="1">
        <v>5</v>
      </c>
      <c r="G421" s="1">
        <v>0</v>
      </c>
      <c r="H421" s="1">
        <v>9800</v>
      </c>
      <c r="I421" s="1">
        <v>0</v>
      </c>
    </row>
    <row r="422" spans="1:9" hidden="1" x14ac:dyDescent="0.2">
      <c r="A422" t="s">
        <v>9</v>
      </c>
      <c r="B422" t="s">
        <v>10</v>
      </c>
      <c r="C422" t="s">
        <v>52</v>
      </c>
      <c r="D422" t="s">
        <v>32</v>
      </c>
      <c r="E422" s="1">
        <v>9705</v>
      </c>
      <c r="F422" s="1">
        <v>8950</v>
      </c>
      <c r="G422" s="1">
        <v>0</v>
      </c>
      <c r="H422" s="1">
        <v>5</v>
      </c>
      <c r="I422" s="1">
        <v>750</v>
      </c>
    </row>
    <row r="423" spans="1:9" hidden="1" x14ac:dyDescent="0.2">
      <c r="A423" t="s">
        <v>9</v>
      </c>
      <c r="B423" t="s">
        <v>10</v>
      </c>
      <c r="C423" t="s">
        <v>46</v>
      </c>
      <c r="D423" t="s">
        <v>32</v>
      </c>
      <c r="E423" s="1">
        <v>9550</v>
      </c>
      <c r="F423" s="1">
        <v>9050</v>
      </c>
      <c r="G423" s="1">
        <v>0</v>
      </c>
      <c r="H423" s="1">
        <v>250</v>
      </c>
      <c r="I423" s="1">
        <v>250</v>
      </c>
    </row>
    <row r="424" spans="1:9" hidden="1" x14ac:dyDescent="0.2">
      <c r="A424" t="s">
        <v>13</v>
      </c>
      <c r="B424" t="s">
        <v>14</v>
      </c>
      <c r="C424" t="s">
        <v>67</v>
      </c>
      <c r="D424" t="s">
        <v>26</v>
      </c>
      <c r="E424" s="1">
        <v>9455</v>
      </c>
      <c r="F424" s="1">
        <v>500</v>
      </c>
      <c r="G424" s="1">
        <v>0</v>
      </c>
      <c r="H424" s="1">
        <v>8700</v>
      </c>
      <c r="I424" s="1">
        <v>255</v>
      </c>
    </row>
    <row r="425" spans="1:9" hidden="1" x14ac:dyDescent="0.2">
      <c r="A425" t="s">
        <v>9</v>
      </c>
      <c r="B425" t="s">
        <v>10</v>
      </c>
      <c r="C425" t="s">
        <v>57</v>
      </c>
      <c r="D425" t="s">
        <v>32</v>
      </c>
      <c r="E425" s="1">
        <v>9205</v>
      </c>
      <c r="F425" s="1">
        <v>8950</v>
      </c>
      <c r="G425" s="1">
        <v>0</v>
      </c>
      <c r="H425" s="1">
        <v>5</v>
      </c>
      <c r="I425" s="1">
        <v>250</v>
      </c>
    </row>
    <row r="426" spans="1:9" hidden="1" x14ac:dyDescent="0.2">
      <c r="A426" t="s">
        <v>9</v>
      </c>
      <c r="B426" t="s">
        <v>10</v>
      </c>
      <c r="C426" t="s">
        <v>51</v>
      </c>
      <c r="D426" t="s">
        <v>31</v>
      </c>
      <c r="E426" s="1">
        <v>9200</v>
      </c>
      <c r="F426" s="1">
        <v>8700</v>
      </c>
      <c r="G426" s="1">
        <v>0</v>
      </c>
      <c r="H426" s="1">
        <v>250</v>
      </c>
      <c r="I426" s="1">
        <v>250</v>
      </c>
    </row>
    <row r="427" spans="1:9" hidden="1" x14ac:dyDescent="0.2">
      <c r="A427" t="s">
        <v>15</v>
      </c>
      <c r="B427" t="s">
        <v>16</v>
      </c>
      <c r="C427" t="s">
        <v>49</v>
      </c>
      <c r="D427" t="s">
        <v>20</v>
      </c>
      <c r="E427" s="1">
        <v>260265</v>
      </c>
      <c r="F427" s="1">
        <v>0</v>
      </c>
      <c r="G427" s="1">
        <v>0</v>
      </c>
      <c r="H427" s="1">
        <v>260000</v>
      </c>
      <c r="I427" s="1">
        <v>265</v>
      </c>
    </row>
    <row r="428" spans="1:9" hidden="1" x14ac:dyDescent="0.2">
      <c r="A428" t="s">
        <v>15</v>
      </c>
      <c r="B428" t="s">
        <v>16</v>
      </c>
      <c r="C428" t="s">
        <v>49</v>
      </c>
      <c r="D428" t="s">
        <v>26</v>
      </c>
      <c r="E428" s="1">
        <v>270105</v>
      </c>
      <c r="F428" s="1">
        <v>6500</v>
      </c>
      <c r="G428" s="1">
        <v>5</v>
      </c>
      <c r="H428" s="1">
        <v>263600</v>
      </c>
      <c r="I428" s="1">
        <v>0</v>
      </c>
    </row>
    <row r="429" spans="1:9" hidden="1" x14ac:dyDescent="0.2">
      <c r="A429" t="s">
        <v>15</v>
      </c>
      <c r="B429" t="s">
        <v>16</v>
      </c>
      <c r="C429" t="s">
        <v>11</v>
      </c>
      <c r="D429" t="s">
        <v>20</v>
      </c>
      <c r="E429" s="1">
        <v>280005</v>
      </c>
      <c r="F429" s="1">
        <v>0</v>
      </c>
      <c r="G429" s="1">
        <v>0</v>
      </c>
      <c r="H429" s="1">
        <v>280000</v>
      </c>
      <c r="I429" s="1">
        <v>5</v>
      </c>
    </row>
    <row r="430" spans="1:9" hidden="1" x14ac:dyDescent="0.2">
      <c r="A430" t="s">
        <v>9</v>
      </c>
      <c r="B430" t="s">
        <v>10</v>
      </c>
      <c r="C430" t="s">
        <v>49</v>
      </c>
      <c r="D430" t="s">
        <v>32</v>
      </c>
      <c r="E430" s="1">
        <v>8550</v>
      </c>
      <c r="F430" s="1">
        <v>7550</v>
      </c>
      <c r="G430" s="1">
        <v>0</v>
      </c>
      <c r="H430" s="1">
        <v>750</v>
      </c>
      <c r="I430" s="1">
        <v>250</v>
      </c>
    </row>
    <row r="431" spans="1:9" x14ac:dyDescent="0.2">
      <c r="A431" t="s">
        <v>15</v>
      </c>
      <c r="B431" t="s">
        <v>16</v>
      </c>
      <c r="C431" t="s">
        <v>61</v>
      </c>
      <c r="D431" t="s">
        <v>20</v>
      </c>
      <c r="E431" s="1">
        <v>230010</v>
      </c>
      <c r="F431" s="1">
        <v>0</v>
      </c>
      <c r="G431" s="1">
        <v>0</v>
      </c>
      <c r="H431" s="1">
        <v>230000</v>
      </c>
      <c r="I431" s="1">
        <v>10</v>
      </c>
    </row>
    <row r="432" spans="1:9" hidden="1" x14ac:dyDescent="0.2">
      <c r="A432" t="s">
        <v>15</v>
      </c>
      <c r="B432" t="s">
        <v>16</v>
      </c>
      <c r="C432" t="s">
        <v>51</v>
      </c>
      <c r="D432" t="s">
        <v>20</v>
      </c>
      <c r="E432" s="1">
        <v>280010</v>
      </c>
      <c r="F432" s="1">
        <v>0</v>
      </c>
      <c r="G432" s="1">
        <v>0</v>
      </c>
      <c r="H432" s="1">
        <v>280000</v>
      </c>
      <c r="I432" s="1">
        <v>10</v>
      </c>
    </row>
    <row r="433" spans="1:9" hidden="1" x14ac:dyDescent="0.2">
      <c r="A433" t="s">
        <v>9</v>
      </c>
      <c r="B433" t="s">
        <v>10</v>
      </c>
      <c r="C433" t="s">
        <v>67</v>
      </c>
      <c r="D433" t="s">
        <v>32</v>
      </c>
      <c r="E433" s="1">
        <v>8250</v>
      </c>
      <c r="F433" s="1">
        <v>7750</v>
      </c>
      <c r="G433" s="1">
        <v>0</v>
      </c>
      <c r="H433" s="1">
        <v>0</v>
      </c>
      <c r="I433" s="1">
        <v>500</v>
      </c>
    </row>
    <row r="434" spans="1:9" hidden="1" x14ac:dyDescent="0.2">
      <c r="A434" t="s">
        <v>9</v>
      </c>
      <c r="B434" t="s">
        <v>10</v>
      </c>
      <c r="C434" t="s">
        <v>51</v>
      </c>
      <c r="D434" t="s">
        <v>32</v>
      </c>
      <c r="E434" s="1">
        <v>8205</v>
      </c>
      <c r="F434" s="1">
        <v>7950</v>
      </c>
      <c r="G434" s="1">
        <v>0</v>
      </c>
      <c r="H434" s="1">
        <v>5</v>
      </c>
      <c r="I434" s="1">
        <v>250</v>
      </c>
    </row>
    <row r="435" spans="1:9" hidden="1" x14ac:dyDescent="0.2">
      <c r="A435" t="s">
        <v>9</v>
      </c>
      <c r="B435" t="s">
        <v>10</v>
      </c>
      <c r="C435" t="s">
        <v>65</v>
      </c>
      <c r="D435" t="s">
        <v>32</v>
      </c>
      <c r="E435" s="1">
        <v>8005</v>
      </c>
      <c r="F435" s="1">
        <v>7750</v>
      </c>
      <c r="G435" s="1">
        <v>0</v>
      </c>
      <c r="H435" s="1">
        <v>5</v>
      </c>
      <c r="I435" s="1">
        <v>250</v>
      </c>
    </row>
    <row r="436" spans="1:9" hidden="1" x14ac:dyDescent="0.2">
      <c r="A436" t="s">
        <v>9</v>
      </c>
      <c r="B436" t="s">
        <v>10</v>
      </c>
      <c r="C436" t="s">
        <v>57</v>
      </c>
      <c r="D436" t="s">
        <v>31</v>
      </c>
      <c r="E436" s="1">
        <v>7905</v>
      </c>
      <c r="F436" s="1">
        <v>7650</v>
      </c>
      <c r="G436" s="1">
        <v>0</v>
      </c>
      <c r="H436" s="1">
        <v>5</v>
      </c>
      <c r="I436" s="1">
        <v>250</v>
      </c>
    </row>
    <row r="437" spans="1:9" hidden="1" x14ac:dyDescent="0.2">
      <c r="A437" t="s">
        <v>9</v>
      </c>
      <c r="B437" t="s">
        <v>10</v>
      </c>
      <c r="C437" t="s">
        <v>61</v>
      </c>
      <c r="D437" t="s">
        <v>32</v>
      </c>
      <c r="E437" s="1">
        <v>7900</v>
      </c>
      <c r="F437" s="1">
        <v>7650</v>
      </c>
      <c r="G437" s="1">
        <v>0</v>
      </c>
      <c r="H437" s="1">
        <v>0</v>
      </c>
      <c r="I437" s="1">
        <v>250</v>
      </c>
    </row>
    <row r="438" spans="1:9" hidden="1" x14ac:dyDescent="0.2">
      <c r="A438" t="s">
        <v>9</v>
      </c>
      <c r="B438" t="s">
        <v>10</v>
      </c>
      <c r="C438" t="s">
        <v>69</v>
      </c>
      <c r="D438" t="s">
        <v>32</v>
      </c>
      <c r="E438" s="1">
        <v>7605</v>
      </c>
      <c r="F438" s="1">
        <v>7350</v>
      </c>
      <c r="G438" s="1">
        <v>0</v>
      </c>
      <c r="H438" s="1">
        <v>5</v>
      </c>
      <c r="I438" s="1">
        <v>250</v>
      </c>
    </row>
    <row r="439" spans="1:9" hidden="1" x14ac:dyDescent="0.2">
      <c r="A439" t="s">
        <v>9</v>
      </c>
      <c r="B439" t="s">
        <v>10</v>
      </c>
      <c r="C439" t="s">
        <v>51</v>
      </c>
      <c r="D439" t="s">
        <v>34</v>
      </c>
      <c r="E439" s="1">
        <v>7601.8</v>
      </c>
      <c r="F439" s="1">
        <v>1.6</v>
      </c>
      <c r="G439" s="1">
        <v>0</v>
      </c>
      <c r="H439" s="1">
        <v>7599</v>
      </c>
      <c r="I439" s="1">
        <v>1.2</v>
      </c>
    </row>
    <row r="440" spans="1:9" x14ac:dyDescent="0.2">
      <c r="A440" t="s">
        <v>15</v>
      </c>
      <c r="B440" t="s">
        <v>16</v>
      </c>
      <c r="C440" t="s">
        <v>61</v>
      </c>
      <c r="D440" t="s">
        <v>26</v>
      </c>
      <c r="E440" s="1">
        <v>312405</v>
      </c>
      <c r="F440" s="1">
        <v>25300</v>
      </c>
      <c r="G440" s="1">
        <v>250</v>
      </c>
      <c r="H440" s="1">
        <v>286600</v>
      </c>
      <c r="I440" s="1">
        <v>255</v>
      </c>
    </row>
    <row r="441" spans="1:9" hidden="1" x14ac:dyDescent="0.2">
      <c r="A441" t="s">
        <v>9</v>
      </c>
      <c r="B441" t="s">
        <v>10</v>
      </c>
      <c r="C441" t="s">
        <v>46</v>
      </c>
      <c r="D441" t="s">
        <v>33</v>
      </c>
      <c r="E441" s="1">
        <v>7450</v>
      </c>
      <c r="F441" s="1">
        <v>5800</v>
      </c>
      <c r="G441" s="1">
        <v>0</v>
      </c>
      <c r="H441" s="1">
        <v>250</v>
      </c>
      <c r="I441" s="1">
        <v>1400</v>
      </c>
    </row>
    <row r="442" spans="1:9" hidden="1" x14ac:dyDescent="0.2">
      <c r="A442" t="s">
        <v>9</v>
      </c>
      <c r="B442" t="s">
        <v>10</v>
      </c>
      <c r="C442" t="s">
        <v>49</v>
      </c>
      <c r="D442" t="s">
        <v>34</v>
      </c>
      <c r="E442" s="1">
        <v>7445.9</v>
      </c>
      <c r="F442" s="1">
        <v>1.5</v>
      </c>
      <c r="G442" s="1">
        <v>0</v>
      </c>
      <c r="H442" s="1">
        <v>7438.6</v>
      </c>
      <c r="I442" s="1">
        <v>5.8</v>
      </c>
    </row>
    <row r="443" spans="1:9" hidden="1" x14ac:dyDescent="0.2">
      <c r="A443" t="s">
        <v>13</v>
      </c>
      <c r="B443" t="s">
        <v>14</v>
      </c>
      <c r="C443" t="s">
        <v>51</v>
      </c>
      <c r="D443" t="s">
        <v>29</v>
      </c>
      <c r="E443" s="1">
        <v>7405</v>
      </c>
      <c r="F443" s="1">
        <v>7400</v>
      </c>
      <c r="G443" s="1">
        <v>0</v>
      </c>
      <c r="H443" s="1">
        <v>0</v>
      </c>
      <c r="I443" s="1">
        <v>5</v>
      </c>
    </row>
    <row r="444" spans="1:9" hidden="1" x14ac:dyDescent="0.2">
      <c r="A444" t="s">
        <v>9</v>
      </c>
      <c r="B444" t="s">
        <v>10</v>
      </c>
      <c r="C444" t="s">
        <v>49</v>
      </c>
      <c r="D444" t="s">
        <v>33</v>
      </c>
      <c r="E444" s="1">
        <v>7250</v>
      </c>
      <c r="F444" s="1">
        <v>5000</v>
      </c>
      <c r="G444" s="1">
        <v>0</v>
      </c>
      <c r="H444" s="1">
        <v>2000</v>
      </c>
      <c r="I444" s="1">
        <v>250</v>
      </c>
    </row>
    <row r="445" spans="1:9" hidden="1" x14ac:dyDescent="0.2">
      <c r="A445" t="s">
        <v>9</v>
      </c>
      <c r="B445" t="s">
        <v>10</v>
      </c>
      <c r="C445" t="s">
        <v>67</v>
      </c>
      <c r="D445" t="s">
        <v>34</v>
      </c>
      <c r="E445" s="1">
        <v>7229.8</v>
      </c>
      <c r="F445" s="1">
        <v>0.9</v>
      </c>
      <c r="G445" s="1">
        <v>0</v>
      </c>
      <c r="H445" s="1">
        <v>7227</v>
      </c>
      <c r="I445" s="1">
        <v>1.9</v>
      </c>
    </row>
    <row r="446" spans="1:9" hidden="1" x14ac:dyDescent="0.2">
      <c r="A446" t="s">
        <v>9</v>
      </c>
      <c r="B446" t="s">
        <v>10</v>
      </c>
      <c r="C446" t="s">
        <v>57</v>
      </c>
      <c r="D446" t="s">
        <v>34</v>
      </c>
      <c r="E446" s="1">
        <v>7080.7999999999984</v>
      </c>
      <c r="F446" s="1">
        <v>2.2999999999999998</v>
      </c>
      <c r="G446" s="1">
        <v>0</v>
      </c>
      <c r="H446" s="1">
        <v>7078.4</v>
      </c>
      <c r="I446" s="1">
        <v>0.1</v>
      </c>
    </row>
    <row r="447" spans="1:9" hidden="1" x14ac:dyDescent="0.2">
      <c r="A447" t="s">
        <v>9</v>
      </c>
      <c r="B447" t="s">
        <v>10</v>
      </c>
      <c r="C447" t="s">
        <v>52</v>
      </c>
      <c r="D447" t="s">
        <v>34</v>
      </c>
      <c r="E447" s="1">
        <v>7054.2</v>
      </c>
      <c r="F447" s="1">
        <v>0.7</v>
      </c>
      <c r="G447" s="1">
        <v>0</v>
      </c>
      <c r="H447" s="1">
        <v>7053.5</v>
      </c>
      <c r="I447" s="1">
        <v>0</v>
      </c>
    </row>
    <row r="448" spans="1:9" hidden="1" x14ac:dyDescent="0.2">
      <c r="A448" t="s">
        <v>18</v>
      </c>
      <c r="B448" t="s">
        <v>19</v>
      </c>
      <c r="C448" t="s">
        <v>11</v>
      </c>
      <c r="D448" t="s">
        <v>26</v>
      </c>
      <c r="E448" s="1">
        <v>7050</v>
      </c>
      <c r="F448" s="1">
        <v>0</v>
      </c>
      <c r="G448" s="1">
        <v>0</v>
      </c>
      <c r="H448" s="1">
        <v>6800</v>
      </c>
      <c r="I448" s="1">
        <v>250</v>
      </c>
    </row>
    <row r="449" spans="1:9" hidden="1" x14ac:dyDescent="0.2">
      <c r="A449" t="s">
        <v>9</v>
      </c>
      <c r="B449" t="s">
        <v>10</v>
      </c>
      <c r="C449" t="s">
        <v>52</v>
      </c>
      <c r="D449" t="s">
        <v>33</v>
      </c>
      <c r="E449" s="1">
        <v>6905</v>
      </c>
      <c r="F449" s="1">
        <v>5000</v>
      </c>
      <c r="G449" s="1">
        <v>0</v>
      </c>
      <c r="H449" s="1">
        <v>5</v>
      </c>
      <c r="I449" s="1">
        <v>1900</v>
      </c>
    </row>
    <row r="450" spans="1:9" hidden="1" x14ac:dyDescent="0.2">
      <c r="A450" t="s">
        <v>9</v>
      </c>
      <c r="B450" t="s">
        <v>10</v>
      </c>
      <c r="C450" t="s">
        <v>69</v>
      </c>
      <c r="D450" t="s">
        <v>34</v>
      </c>
      <c r="E450" s="1">
        <v>6899.1</v>
      </c>
      <c r="F450" s="1">
        <v>1</v>
      </c>
      <c r="G450" s="1">
        <v>0</v>
      </c>
      <c r="H450" s="1">
        <v>6895.6</v>
      </c>
      <c r="I450" s="1">
        <v>2.5</v>
      </c>
    </row>
    <row r="451" spans="1:9" hidden="1" x14ac:dyDescent="0.2">
      <c r="A451" t="s">
        <v>13</v>
      </c>
      <c r="B451" t="s">
        <v>14</v>
      </c>
      <c r="C451" t="s">
        <v>61</v>
      </c>
      <c r="D451" t="s">
        <v>29</v>
      </c>
      <c r="E451" s="1">
        <v>6700</v>
      </c>
      <c r="F451" s="1">
        <v>6700</v>
      </c>
      <c r="G451" s="1">
        <v>0</v>
      </c>
      <c r="H451" s="1">
        <v>0</v>
      </c>
      <c r="I451" s="1">
        <v>0</v>
      </c>
    </row>
    <row r="452" spans="1:9" hidden="1" x14ac:dyDescent="0.2">
      <c r="A452" t="s">
        <v>15</v>
      </c>
      <c r="B452" t="s">
        <v>16</v>
      </c>
      <c r="C452" t="s">
        <v>46</v>
      </c>
      <c r="D452" t="s">
        <v>26</v>
      </c>
      <c r="E452" s="1">
        <v>293305</v>
      </c>
      <c r="F452" s="1">
        <v>9300</v>
      </c>
      <c r="G452" s="1">
        <v>5</v>
      </c>
      <c r="H452" s="1">
        <v>284000</v>
      </c>
      <c r="I452" s="1">
        <v>0</v>
      </c>
    </row>
    <row r="453" spans="1:9" hidden="1" x14ac:dyDescent="0.2">
      <c r="A453" t="s">
        <v>9</v>
      </c>
      <c r="B453" t="s">
        <v>10</v>
      </c>
      <c r="C453" t="s">
        <v>46</v>
      </c>
      <c r="D453" t="s">
        <v>34</v>
      </c>
      <c r="E453" s="1">
        <v>6431.7</v>
      </c>
      <c r="F453" s="1">
        <v>1.7</v>
      </c>
      <c r="G453" s="1">
        <v>0</v>
      </c>
      <c r="H453" s="1">
        <v>6430</v>
      </c>
      <c r="I453" s="1">
        <v>0</v>
      </c>
    </row>
    <row r="454" spans="1:9" hidden="1" x14ac:dyDescent="0.2">
      <c r="A454" t="s">
        <v>9</v>
      </c>
      <c r="B454" t="s">
        <v>10</v>
      </c>
      <c r="C454" t="s">
        <v>65</v>
      </c>
      <c r="D454" t="s">
        <v>34</v>
      </c>
      <c r="E454" s="1">
        <v>6404.3</v>
      </c>
      <c r="F454" s="1">
        <v>0.9</v>
      </c>
      <c r="G454" s="1">
        <v>0</v>
      </c>
      <c r="H454" s="1">
        <v>6400</v>
      </c>
      <c r="I454" s="1">
        <v>3.4</v>
      </c>
    </row>
    <row r="455" spans="1:9" hidden="1" x14ac:dyDescent="0.2">
      <c r="A455" t="s">
        <v>13</v>
      </c>
      <c r="B455" t="s">
        <v>14</v>
      </c>
      <c r="C455" t="s">
        <v>51</v>
      </c>
      <c r="D455" t="s">
        <v>28</v>
      </c>
      <c r="E455" s="1">
        <v>6302</v>
      </c>
      <c r="F455" s="1">
        <v>6300</v>
      </c>
      <c r="G455" s="1">
        <v>0</v>
      </c>
      <c r="H455" s="1">
        <v>0</v>
      </c>
      <c r="I455" s="1">
        <v>2</v>
      </c>
    </row>
    <row r="456" spans="1:9" hidden="1" x14ac:dyDescent="0.2">
      <c r="A456" t="s">
        <v>18</v>
      </c>
      <c r="B456" t="s">
        <v>19</v>
      </c>
      <c r="C456" t="s">
        <v>65</v>
      </c>
      <c r="D456" t="s">
        <v>22</v>
      </c>
      <c r="E456" s="1">
        <v>6300</v>
      </c>
      <c r="F456" s="1">
        <v>0</v>
      </c>
      <c r="G456" s="1">
        <v>0</v>
      </c>
      <c r="H456" s="1">
        <v>6300</v>
      </c>
      <c r="I456" s="1">
        <v>0</v>
      </c>
    </row>
    <row r="457" spans="1:9" hidden="1" x14ac:dyDescent="0.2">
      <c r="A457" t="s">
        <v>9</v>
      </c>
      <c r="B457" t="s">
        <v>10</v>
      </c>
      <c r="C457" t="s">
        <v>11</v>
      </c>
      <c r="D457" t="s">
        <v>33</v>
      </c>
      <c r="E457" s="1">
        <v>6250</v>
      </c>
      <c r="F457" s="1">
        <v>6000</v>
      </c>
      <c r="G457" s="1">
        <v>0</v>
      </c>
      <c r="H457" s="1">
        <v>250</v>
      </c>
      <c r="I457" s="1">
        <v>0</v>
      </c>
    </row>
    <row r="458" spans="1:9" hidden="1" x14ac:dyDescent="0.2">
      <c r="A458" t="s">
        <v>9</v>
      </c>
      <c r="B458" t="s">
        <v>10</v>
      </c>
      <c r="C458" t="s">
        <v>65</v>
      </c>
      <c r="D458" t="s">
        <v>31</v>
      </c>
      <c r="E458" s="1">
        <v>6205</v>
      </c>
      <c r="F458" s="1">
        <v>5450</v>
      </c>
      <c r="G458" s="1">
        <v>0</v>
      </c>
      <c r="H458" s="1">
        <v>5</v>
      </c>
      <c r="I458" s="1">
        <v>750</v>
      </c>
    </row>
    <row r="459" spans="1:9" x14ac:dyDescent="0.2">
      <c r="A459" t="s">
        <v>15</v>
      </c>
      <c r="B459" t="s">
        <v>16</v>
      </c>
      <c r="C459" t="s">
        <v>61</v>
      </c>
      <c r="D459" t="s">
        <v>12</v>
      </c>
      <c r="E459" s="1">
        <v>2562205.7000000002</v>
      </c>
      <c r="F459" s="1">
        <v>179</v>
      </c>
      <c r="G459" s="1">
        <v>0.4</v>
      </c>
      <c r="H459" s="1">
        <v>2561000</v>
      </c>
      <c r="I459" s="1">
        <v>1026.3</v>
      </c>
    </row>
    <row r="460" spans="1:9" hidden="1" x14ac:dyDescent="0.2">
      <c r="A460" t="s">
        <v>18</v>
      </c>
      <c r="B460" t="s">
        <v>19</v>
      </c>
      <c r="C460" t="s">
        <v>67</v>
      </c>
      <c r="D460" t="s">
        <v>22</v>
      </c>
      <c r="E460" s="1">
        <v>6000</v>
      </c>
      <c r="F460" s="1">
        <v>0</v>
      </c>
      <c r="G460" s="1">
        <v>0</v>
      </c>
      <c r="H460" s="1">
        <v>6000</v>
      </c>
      <c r="I460" s="1">
        <v>0</v>
      </c>
    </row>
    <row r="461" spans="1:9" hidden="1" x14ac:dyDescent="0.2">
      <c r="A461" t="s">
        <v>9</v>
      </c>
      <c r="B461" t="s">
        <v>10</v>
      </c>
      <c r="C461" t="s">
        <v>67</v>
      </c>
      <c r="D461" t="s">
        <v>31</v>
      </c>
      <c r="E461" s="1">
        <v>5855</v>
      </c>
      <c r="F461" s="1">
        <v>5350</v>
      </c>
      <c r="G461" s="1">
        <v>0</v>
      </c>
      <c r="H461" s="1">
        <v>0</v>
      </c>
      <c r="I461" s="1">
        <v>505</v>
      </c>
    </row>
    <row r="462" spans="1:9" hidden="1" x14ac:dyDescent="0.2">
      <c r="A462" t="s">
        <v>9</v>
      </c>
      <c r="B462" t="s">
        <v>10</v>
      </c>
      <c r="C462" t="s">
        <v>61</v>
      </c>
      <c r="D462" t="s">
        <v>34</v>
      </c>
      <c r="E462" s="1">
        <v>5787</v>
      </c>
      <c r="F462" s="1">
        <v>1</v>
      </c>
      <c r="G462" s="1">
        <v>0</v>
      </c>
      <c r="H462" s="1">
        <v>5786</v>
      </c>
      <c r="I462" s="1">
        <v>0</v>
      </c>
    </row>
    <row r="463" spans="1:9" x14ac:dyDescent="0.2">
      <c r="A463" t="s">
        <v>15</v>
      </c>
      <c r="B463" t="s">
        <v>16</v>
      </c>
      <c r="C463" t="s">
        <v>65</v>
      </c>
      <c r="D463" t="s">
        <v>20</v>
      </c>
      <c r="E463" s="1">
        <v>350010</v>
      </c>
      <c r="F463" s="1">
        <v>0</v>
      </c>
      <c r="G463" s="1">
        <v>0</v>
      </c>
      <c r="H463" s="1">
        <v>350000</v>
      </c>
      <c r="I463" s="1">
        <v>10</v>
      </c>
    </row>
    <row r="464" spans="1:9" hidden="1" x14ac:dyDescent="0.2">
      <c r="A464" t="s">
        <v>15</v>
      </c>
      <c r="B464" t="s">
        <v>16</v>
      </c>
      <c r="C464" t="s">
        <v>51</v>
      </c>
      <c r="D464" t="s">
        <v>26</v>
      </c>
      <c r="E464" s="1">
        <v>316855</v>
      </c>
      <c r="F464" s="1">
        <v>2850</v>
      </c>
      <c r="G464" s="1">
        <v>5</v>
      </c>
      <c r="H464" s="1">
        <v>314000</v>
      </c>
      <c r="I464" s="1">
        <v>0</v>
      </c>
    </row>
    <row r="465" spans="1:9" hidden="1" x14ac:dyDescent="0.2">
      <c r="A465" t="s">
        <v>9</v>
      </c>
      <c r="B465" t="s">
        <v>10</v>
      </c>
      <c r="C465" t="s">
        <v>51</v>
      </c>
      <c r="D465" t="s">
        <v>33</v>
      </c>
      <c r="E465" s="1">
        <v>5700</v>
      </c>
      <c r="F465" s="1">
        <v>5200</v>
      </c>
      <c r="G465" s="1">
        <v>0</v>
      </c>
      <c r="H465" s="1">
        <v>250</v>
      </c>
      <c r="I465" s="1">
        <v>250</v>
      </c>
    </row>
    <row r="466" spans="1:9" hidden="1" x14ac:dyDescent="0.2">
      <c r="A466" t="s">
        <v>9</v>
      </c>
      <c r="B466" t="s">
        <v>10</v>
      </c>
      <c r="C466" t="s">
        <v>69</v>
      </c>
      <c r="D466" t="s">
        <v>31</v>
      </c>
      <c r="E466" s="1">
        <v>5605</v>
      </c>
      <c r="F466" s="1">
        <v>4850</v>
      </c>
      <c r="G466" s="1">
        <v>0</v>
      </c>
      <c r="H466" s="1">
        <v>5</v>
      </c>
      <c r="I466" s="1">
        <v>750</v>
      </c>
    </row>
    <row r="467" spans="1:9" hidden="1" x14ac:dyDescent="0.2">
      <c r="A467" t="s">
        <v>18</v>
      </c>
      <c r="B467" t="s">
        <v>19</v>
      </c>
      <c r="C467" t="s">
        <v>69</v>
      </c>
      <c r="D467" t="s">
        <v>22</v>
      </c>
      <c r="E467" s="1">
        <v>5600</v>
      </c>
      <c r="F467" s="1">
        <v>0</v>
      </c>
      <c r="G467" s="1">
        <v>0</v>
      </c>
      <c r="H467" s="1">
        <v>5600</v>
      </c>
      <c r="I467" s="1">
        <v>0</v>
      </c>
    </row>
    <row r="468" spans="1:9" hidden="1" x14ac:dyDescent="0.2">
      <c r="A468" t="s">
        <v>13</v>
      </c>
      <c r="B468" t="s">
        <v>14</v>
      </c>
      <c r="C468" t="s">
        <v>57</v>
      </c>
      <c r="D468" t="s">
        <v>28</v>
      </c>
      <c r="E468" s="1">
        <v>5105</v>
      </c>
      <c r="F468" s="1">
        <v>5100</v>
      </c>
      <c r="G468" s="1">
        <v>0</v>
      </c>
      <c r="H468" s="1">
        <v>0</v>
      </c>
      <c r="I468" s="1">
        <v>5</v>
      </c>
    </row>
    <row r="469" spans="1:9" hidden="1" x14ac:dyDescent="0.2">
      <c r="A469" t="s">
        <v>9</v>
      </c>
      <c r="B469" t="s">
        <v>10</v>
      </c>
      <c r="C469" t="s">
        <v>61</v>
      </c>
      <c r="D469" t="s">
        <v>31</v>
      </c>
      <c r="E469" s="1">
        <v>5005</v>
      </c>
      <c r="F469" s="1">
        <v>4750</v>
      </c>
      <c r="G469" s="1">
        <v>0</v>
      </c>
      <c r="H469" s="1">
        <v>5</v>
      </c>
      <c r="I469" s="1">
        <v>250</v>
      </c>
    </row>
    <row r="470" spans="1:9" hidden="1" x14ac:dyDescent="0.2">
      <c r="A470" t="s">
        <v>13</v>
      </c>
      <c r="B470" t="s">
        <v>14</v>
      </c>
      <c r="C470" t="s">
        <v>52</v>
      </c>
      <c r="D470" t="s">
        <v>25</v>
      </c>
      <c r="E470" s="1">
        <v>4900</v>
      </c>
      <c r="F470" s="1">
        <v>4900</v>
      </c>
      <c r="G470" s="1">
        <v>0</v>
      </c>
      <c r="H470" s="1">
        <v>0</v>
      </c>
      <c r="I470" s="1">
        <v>0</v>
      </c>
    </row>
    <row r="471" spans="1:9" hidden="1" x14ac:dyDescent="0.2">
      <c r="A471" t="s">
        <v>15</v>
      </c>
      <c r="B471" t="s">
        <v>16</v>
      </c>
      <c r="C471" t="s">
        <v>46</v>
      </c>
      <c r="D471" t="s">
        <v>20</v>
      </c>
      <c r="E471" s="1">
        <v>350010</v>
      </c>
      <c r="F471" s="1">
        <v>0</v>
      </c>
      <c r="G471" s="1">
        <v>0</v>
      </c>
      <c r="H471" s="1">
        <v>350000</v>
      </c>
      <c r="I471" s="1">
        <v>10</v>
      </c>
    </row>
    <row r="472" spans="1:9" x14ac:dyDescent="0.2">
      <c r="A472" t="s">
        <v>15</v>
      </c>
      <c r="B472" t="s">
        <v>16</v>
      </c>
      <c r="C472" t="s">
        <v>65</v>
      </c>
      <c r="D472" t="s">
        <v>26</v>
      </c>
      <c r="E472" s="1">
        <v>486005</v>
      </c>
      <c r="F472" s="1">
        <v>22200</v>
      </c>
      <c r="G472" s="1">
        <v>250</v>
      </c>
      <c r="H472" s="1">
        <v>463300</v>
      </c>
      <c r="I472" s="1">
        <v>255</v>
      </c>
    </row>
    <row r="473" spans="1:9" x14ac:dyDescent="0.2">
      <c r="A473" t="s">
        <v>15</v>
      </c>
      <c r="B473" t="s">
        <v>16</v>
      </c>
      <c r="C473" t="s">
        <v>65</v>
      </c>
      <c r="D473" t="s">
        <v>12</v>
      </c>
      <c r="E473" s="1">
        <v>3906881.8</v>
      </c>
      <c r="F473" s="1">
        <v>242</v>
      </c>
      <c r="G473" s="1">
        <v>0.3</v>
      </c>
      <c r="H473" s="1">
        <v>3905000</v>
      </c>
      <c r="I473" s="1">
        <v>1639.5</v>
      </c>
    </row>
    <row r="474" spans="1:9" hidden="1" x14ac:dyDescent="0.2">
      <c r="A474" t="s">
        <v>13</v>
      </c>
      <c r="B474" t="s">
        <v>14</v>
      </c>
      <c r="C474" t="s">
        <v>57</v>
      </c>
      <c r="D474" t="s">
        <v>25</v>
      </c>
      <c r="E474" s="1">
        <v>4800</v>
      </c>
      <c r="F474" s="1">
        <v>4800</v>
      </c>
      <c r="G474" s="1">
        <v>0</v>
      </c>
      <c r="H474" s="1">
        <v>0</v>
      </c>
      <c r="I474" s="1">
        <v>0</v>
      </c>
    </row>
    <row r="475" spans="1:9" hidden="1" x14ac:dyDescent="0.2">
      <c r="A475" t="s">
        <v>13</v>
      </c>
      <c r="B475" t="s">
        <v>14</v>
      </c>
      <c r="C475" t="s">
        <v>65</v>
      </c>
      <c r="D475" t="s">
        <v>25</v>
      </c>
      <c r="E475" s="1">
        <v>4800</v>
      </c>
      <c r="F475" s="1">
        <v>4800</v>
      </c>
      <c r="G475" s="1">
        <v>0</v>
      </c>
      <c r="H475" s="1">
        <v>0</v>
      </c>
      <c r="I475" s="1">
        <v>0</v>
      </c>
    </row>
    <row r="476" spans="1:9" hidden="1" x14ac:dyDescent="0.2">
      <c r="A476" t="s">
        <v>13</v>
      </c>
      <c r="B476" t="s">
        <v>14</v>
      </c>
      <c r="C476" t="s">
        <v>46</v>
      </c>
      <c r="D476" t="s">
        <v>28</v>
      </c>
      <c r="E476" s="1">
        <v>4702</v>
      </c>
      <c r="F476" s="1">
        <v>4700</v>
      </c>
      <c r="G476" s="1">
        <v>0</v>
      </c>
      <c r="H476" s="1">
        <v>0</v>
      </c>
      <c r="I476" s="1">
        <v>2</v>
      </c>
    </row>
    <row r="477" spans="1:9" x14ac:dyDescent="0.2">
      <c r="A477" t="s">
        <v>15</v>
      </c>
      <c r="B477" t="s">
        <v>16</v>
      </c>
      <c r="C477" t="s">
        <v>67</v>
      </c>
      <c r="D477" t="s">
        <v>20</v>
      </c>
      <c r="E477" s="1">
        <v>220010</v>
      </c>
      <c r="F477" s="1">
        <v>0</v>
      </c>
      <c r="G477" s="1">
        <v>0</v>
      </c>
      <c r="H477" s="1">
        <v>220000</v>
      </c>
      <c r="I477" s="1">
        <v>10</v>
      </c>
    </row>
    <row r="478" spans="1:9" hidden="1" x14ac:dyDescent="0.2">
      <c r="A478" t="s">
        <v>18</v>
      </c>
      <c r="B478" t="s">
        <v>19</v>
      </c>
      <c r="C478" t="s">
        <v>61</v>
      </c>
      <c r="D478" t="s">
        <v>22</v>
      </c>
      <c r="E478" s="1">
        <v>4700</v>
      </c>
      <c r="F478" s="1">
        <v>0</v>
      </c>
      <c r="G478" s="1">
        <v>0</v>
      </c>
      <c r="H478" s="1">
        <v>4700</v>
      </c>
      <c r="I478" s="1">
        <v>0</v>
      </c>
    </row>
    <row r="479" spans="1:9" hidden="1" x14ac:dyDescent="0.2">
      <c r="A479" t="s">
        <v>9</v>
      </c>
      <c r="B479" t="s">
        <v>10</v>
      </c>
      <c r="C479" t="s">
        <v>52</v>
      </c>
      <c r="D479" t="s">
        <v>35</v>
      </c>
      <c r="E479" s="1">
        <v>4650</v>
      </c>
      <c r="F479" s="1">
        <v>3650</v>
      </c>
      <c r="G479" s="1">
        <v>0</v>
      </c>
      <c r="H479" s="1">
        <v>250</v>
      </c>
      <c r="I479" s="1">
        <v>750</v>
      </c>
    </row>
    <row r="480" spans="1:9" hidden="1" x14ac:dyDescent="0.2">
      <c r="A480" t="s">
        <v>13</v>
      </c>
      <c r="B480" t="s">
        <v>14</v>
      </c>
      <c r="C480" t="s">
        <v>69</v>
      </c>
      <c r="D480" t="s">
        <v>28</v>
      </c>
      <c r="E480" s="1">
        <v>4505</v>
      </c>
      <c r="F480" s="1">
        <v>4500</v>
      </c>
      <c r="G480" s="1">
        <v>0</v>
      </c>
      <c r="H480" s="1">
        <v>0</v>
      </c>
      <c r="I480" s="1">
        <v>5</v>
      </c>
    </row>
    <row r="481" spans="1:9" hidden="1" x14ac:dyDescent="0.2">
      <c r="A481" t="s">
        <v>15</v>
      </c>
      <c r="B481" t="s">
        <v>16</v>
      </c>
      <c r="C481" t="s">
        <v>11</v>
      </c>
      <c r="D481" t="s">
        <v>12</v>
      </c>
      <c r="E481" s="1">
        <v>613343.9</v>
      </c>
      <c r="F481" s="1">
        <v>49</v>
      </c>
      <c r="G481" s="1">
        <v>0.9</v>
      </c>
      <c r="H481" s="1">
        <v>611200</v>
      </c>
      <c r="I481" s="1">
        <v>2094</v>
      </c>
    </row>
    <row r="482" spans="1:9" hidden="1" x14ac:dyDescent="0.2">
      <c r="A482" t="s">
        <v>9</v>
      </c>
      <c r="B482" t="s">
        <v>10</v>
      </c>
      <c r="C482" t="s">
        <v>57</v>
      </c>
      <c r="D482" t="s">
        <v>33</v>
      </c>
      <c r="E482" s="1">
        <v>4405</v>
      </c>
      <c r="F482" s="1">
        <v>4150</v>
      </c>
      <c r="G482" s="1">
        <v>0</v>
      </c>
      <c r="H482" s="1">
        <v>5</v>
      </c>
      <c r="I482" s="1">
        <v>250</v>
      </c>
    </row>
    <row r="483" spans="1:9" hidden="1" x14ac:dyDescent="0.2">
      <c r="A483" t="s">
        <v>13</v>
      </c>
      <c r="B483" t="s">
        <v>14</v>
      </c>
      <c r="C483" t="s">
        <v>11</v>
      </c>
      <c r="D483" t="s">
        <v>28</v>
      </c>
      <c r="E483" s="1">
        <v>4402</v>
      </c>
      <c r="F483" s="1">
        <v>4400</v>
      </c>
      <c r="G483" s="1">
        <v>0</v>
      </c>
      <c r="H483" s="1">
        <v>0</v>
      </c>
      <c r="I483" s="1">
        <v>2</v>
      </c>
    </row>
    <row r="484" spans="1:9" hidden="1" x14ac:dyDescent="0.2">
      <c r="A484" t="s">
        <v>13</v>
      </c>
      <c r="B484" t="s">
        <v>14</v>
      </c>
      <c r="C484" t="s">
        <v>61</v>
      </c>
      <c r="D484" t="s">
        <v>25</v>
      </c>
      <c r="E484" s="1">
        <v>4400</v>
      </c>
      <c r="F484" s="1">
        <v>4400</v>
      </c>
      <c r="G484" s="1">
        <v>0</v>
      </c>
      <c r="H484" s="1">
        <v>0</v>
      </c>
      <c r="I484" s="1">
        <v>0</v>
      </c>
    </row>
    <row r="485" spans="1:9" hidden="1" x14ac:dyDescent="0.2">
      <c r="A485" t="s">
        <v>9</v>
      </c>
      <c r="B485" t="s">
        <v>10</v>
      </c>
      <c r="C485" t="s">
        <v>65</v>
      </c>
      <c r="D485" t="s">
        <v>33</v>
      </c>
      <c r="E485" s="1">
        <v>4305</v>
      </c>
      <c r="F485" s="1">
        <v>3550</v>
      </c>
      <c r="G485" s="1">
        <v>0</v>
      </c>
      <c r="H485" s="1">
        <v>5</v>
      </c>
      <c r="I485" s="1">
        <v>750</v>
      </c>
    </row>
    <row r="486" spans="1:9" hidden="1" x14ac:dyDescent="0.2">
      <c r="A486" t="s">
        <v>13</v>
      </c>
      <c r="B486" t="s">
        <v>14</v>
      </c>
      <c r="C486" t="s">
        <v>65</v>
      </c>
      <c r="D486" t="s">
        <v>28</v>
      </c>
      <c r="E486" s="1">
        <v>4205</v>
      </c>
      <c r="F486" s="1">
        <v>4200</v>
      </c>
      <c r="G486" s="1">
        <v>0</v>
      </c>
      <c r="H486" s="1">
        <v>0</v>
      </c>
      <c r="I486" s="1">
        <v>5</v>
      </c>
    </row>
    <row r="487" spans="1:9" hidden="1" x14ac:dyDescent="0.2">
      <c r="A487" t="s">
        <v>13</v>
      </c>
      <c r="B487" t="s">
        <v>14</v>
      </c>
      <c r="C487" t="s">
        <v>69</v>
      </c>
      <c r="D487" t="s">
        <v>25</v>
      </c>
      <c r="E487" s="1">
        <v>4100</v>
      </c>
      <c r="F487" s="1">
        <v>4100</v>
      </c>
      <c r="G487" s="1">
        <v>0</v>
      </c>
      <c r="H487" s="1">
        <v>0</v>
      </c>
      <c r="I487" s="1">
        <v>0</v>
      </c>
    </row>
    <row r="488" spans="1:9" hidden="1" x14ac:dyDescent="0.2">
      <c r="A488" t="s">
        <v>9</v>
      </c>
      <c r="B488" t="s">
        <v>10</v>
      </c>
      <c r="C488" t="s">
        <v>49</v>
      </c>
      <c r="D488" t="s">
        <v>35</v>
      </c>
      <c r="E488" s="1">
        <v>4050</v>
      </c>
      <c r="F488" s="1">
        <v>3050</v>
      </c>
      <c r="G488" s="1">
        <v>0</v>
      </c>
      <c r="H488" s="1">
        <v>750</v>
      </c>
      <c r="I488" s="1">
        <v>250</v>
      </c>
    </row>
    <row r="489" spans="1:9" hidden="1" x14ac:dyDescent="0.2">
      <c r="A489" t="s">
        <v>13</v>
      </c>
      <c r="B489" t="s">
        <v>14</v>
      </c>
      <c r="C489" t="s">
        <v>61</v>
      </c>
      <c r="D489" t="s">
        <v>28</v>
      </c>
      <c r="E489" s="1">
        <v>4005</v>
      </c>
      <c r="F489" s="1">
        <v>4000</v>
      </c>
      <c r="G489" s="1">
        <v>0</v>
      </c>
      <c r="H489" s="1">
        <v>0</v>
      </c>
      <c r="I489" s="1">
        <v>5</v>
      </c>
    </row>
    <row r="490" spans="1:9" hidden="1" x14ac:dyDescent="0.2">
      <c r="A490" t="s">
        <v>13</v>
      </c>
      <c r="B490" t="s">
        <v>14</v>
      </c>
      <c r="C490" t="s">
        <v>67</v>
      </c>
      <c r="D490" t="s">
        <v>28</v>
      </c>
      <c r="E490" s="1">
        <v>3905</v>
      </c>
      <c r="F490" s="1">
        <v>3900</v>
      </c>
      <c r="G490" s="1">
        <v>0</v>
      </c>
      <c r="H490" s="1">
        <v>0</v>
      </c>
      <c r="I490" s="1">
        <v>5</v>
      </c>
    </row>
    <row r="491" spans="1:9" hidden="1" x14ac:dyDescent="0.2">
      <c r="A491" t="s">
        <v>18</v>
      </c>
      <c r="B491" t="s">
        <v>19</v>
      </c>
      <c r="C491" t="s">
        <v>61</v>
      </c>
      <c r="D491" t="s">
        <v>28</v>
      </c>
      <c r="E491" s="1">
        <v>3900</v>
      </c>
      <c r="F491" s="1">
        <v>3900</v>
      </c>
      <c r="G491" s="1">
        <v>0</v>
      </c>
      <c r="H491" s="1">
        <v>0</v>
      </c>
      <c r="I491" s="1">
        <v>0</v>
      </c>
    </row>
    <row r="492" spans="1:9" hidden="1" x14ac:dyDescent="0.2">
      <c r="A492" t="s">
        <v>13</v>
      </c>
      <c r="B492" t="s">
        <v>14</v>
      </c>
      <c r="C492" t="s">
        <v>11</v>
      </c>
      <c r="D492" t="s">
        <v>34</v>
      </c>
      <c r="E492" s="1">
        <v>3896</v>
      </c>
      <c r="F492" s="1">
        <v>0.2</v>
      </c>
      <c r="G492" s="1">
        <v>0</v>
      </c>
      <c r="H492" s="1">
        <v>3880</v>
      </c>
      <c r="I492" s="1">
        <v>15.8</v>
      </c>
    </row>
    <row r="493" spans="1:9" hidden="1" x14ac:dyDescent="0.2">
      <c r="A493" t="s">
        <v>13</v>
      </c>
      <c r="B493" t="s">
        <v>14</v>
      </c>
      <c r="C493" t="s">
        <v>67</v>
      </c>
      <c r="D493" t="s">
        <v>25</v>
      </c>
      <c r="E493" s="1">
        <v>3800</v>
      </c>
      <c r="F493" s="1">
        <v>3800</v>
      </c>
      <c r="G493" s="1">
        <v>0</v>
      </c>
      <c r="H493" s="1">
        <v>0</v>
      </c>
      <c r="I493" s="1">
        <v>0</v>
      </c>
    </row>
    <row r="494" spans="1:9" hidden="1" x14ac:dyDescent="0.2">
      <c r="A494" t="s">
        <v>9</v>
      </c>
      <c r="B494" t="s">
        <v>10</v>
      </c>
      <c r="C494" t="s">
        <v>46</v>
      </c>
      <c r="D494" t="s">
        <v>35</v>
      </c>
      <c r="E494" s="1">
        <v>3700</v>
      </c>
      <c r="F494" s="1">
        <v>3450</v>
      </c>
      <c r="G494" s="1">
        <v>0</v>
      </c>
      <c r="H494" s="1">
        <v>250</v>
      </c>
      <c r="I494" s="1">
        <v>0</v>
      </c>
    </row>
    <row r="495" spans="1:9" hidden="1" x14ac:dyDescent="0.2">
      <c r="A495" t="s">
        <v>13</v>
      </c>
      <c r="B495" t="s">
        <v>14</v>
      </c>
      <c r="C495" t="s">
        <v>51</v>
      </c>
      <c r="D495" t="s">
        <v>25</v>
      </c>
      <c r="E495" s="1">
        <v>3700</v>
      </c>
      <c r="F495" s="1">
        <v>3700</v>
      </c>
      <c r="G495" s="1">
        <v>0</v>
      </c>
      <c r="H495" s="1">
        <v>0</v>
      </c>
      <c r="I495" s="1">
        <v>0</v>
      </c>
    </row>
    <row r="496" spans="1:9" hidden="1" x14ac:dyDescent="0.2">
      <c r="A496" t="s">
        <v>18</v>
      </c>
      <c r="B496" t="s">
        <v>19</v>
      </c>
      <c r="C496" t="s">
        <v>57</v>
      </c>
      <c r="D496" t="s">
        <v>28</v>
      </c>
      <c r="E496" s="1">
        <v>3700</v>
      </c>
      <c r="F496" s="1">
        <v>3700</v>
      </c>
      <c r="G496" s="1">
        <v>0</v>
      </c>
      <c r="H496" s="1">
        <v>0</v>
      </c>
      <c r="I496" s="1">
        <v>0</v>
      </c>
    </row>
    <row r="497" spans="1:9" hidden="1" x14ac:dyDescent="0.2">
      <c r="A497" t="s">
        <v>13</v>
      </c>
      <c r="B497" t="s">
        <v>14</v>
      </c>
      <c r="C497" t="s">
        <v>61</v>
      </c>
      <c r="D497" t="s">
        <v>26</v>
      </c>
      <c r="E497" s="1">
        <v>3605</v>
      </c>
      <c r="F497" s="1">
        <v>255</v>
      </c>
      <c r="G497" s="1">
        <v>0</v>
      </c>
      <c r="H497" s="1">
        <v>3100</v>
      </c>
      <c r="I497" s="1">
        <v>250</v>
      </c>
    </row>
    <row r="498" spans="1:9" hidden="1" x14ac:dyDescent="0.2">
      <c r="A498" t="s">
        <v>9</v>
      </c>
      <c r="B498" t="s">
        <v>10</v>
      </c>
      <c r="C498" t="s">
        <v>67</v>
      </c>
      <c r="D498" t="s">
        <v>33</v>
      </c>
      <c r="E498" s="1">
        <v>3605</v>
      </c>
      <c r="F498" s="1">
        <v>2850</v>
      </c>
      <c r="G498" s="1">
        <v>0</v>
      </c>
      <c r="H498" s="1">
        <v>0</v>
      </c>
      <c r="I498" s="1">
        <v>755</v>
      </c>
    </row>
    <row r="499" spans="1:9" hidden="1" x14ac:dyDescent="0.2">
      <c r="A499" t="s">
        <v>9</v>
      </c>
      <c r="B499" t="s">
        <v>10</v>
      </c>
      <c r="C499" t="s">
        <v>11</v>
      </c>
      <c r="D499" t="s">
        <v>35</v>
      </c>
      <c r="E499" s="1">
        <v>3600</v>
      </c>
      <c r="F499" s="1">
        <v>3350</v>
      </c>
      <c r="G499" s="1">
        <v>0</v>
      </c>
      <c r="H499" s="1">
        <v>250</v>
      </c>
      <c r="I499" s="1">
        <v>0</v>
      </c>
    </row>
    <row r="500" spans="1:9" hidden="1" x14ac:dyDescent="0.2">
      <c r="A500" t="s">
        <v>9</v>
      </c>
      <c r="B500" t="s">
        <v>10</v>
      </c>
      <c r="C500" t="s">
        <v>69</v>
      </c>
      <c r="D500" t="s">
        <v>33</v>
      </c>
      <c r="E500" s="1">
        <v>3510</v>
      </c>
      <c r="F500" s="1">
        <v>2750</v>
      </c>
      <c r="G500" s="1">
        <v>0</v>
      </c>
      <c r="H500" s="1">
        <v>5</v>
      </c>
      <c r="I500" s="1">
        <v>755</v>
      </c>
    </row>
    <row r="501" spans="1:9" hidden="1" x14ac:dyDescent="0.2">
      <c r="A501" t="s">
        <v>9</v>
      </c>
      <c r="B501" t="s">
        <v>10</v>
      </c>
      <c r="C501" t="s">
        <v>61</v>
      </c>
      <c r="D501" t="s">
        <v>33</v>
      </c>
      <c r="E501" s="1">
        <v>3500</v>
      </c>
      <c r="F501" s="1">
        <v>2750</v>
      </c>
      <c r="G501" s="1">
        <v>0</v>
      </c>
      <c r="H501" s="1">
        <v>0</v>
      </c>
      <c r="I501" s="1">
        <v>750</v>
      </c>
    </row>
    <row r="502" spans="1:9" hidden="1" x14ac:dyDescent="0.2">
      <c r="A502" t="s">
        <v>18</v>
      </c>
      <c r="B502" t="s">
        <v>19</v>
      </c>
      <c r="C502" t="s">
        <v>69</v>
      </c>
      <c r="D502" t="s">
        <v>28</v>
      </c>
      <c r="E502" s="1">
        <v>3500</v>
      </c>
      <c r="F502" s="1">
        <v>3500</v>
      </c>
      <c r="G502" s="1">
        <v>0</v>
      </c>
      <c r="H502" s="1">
        <v>0</v>
      </c>
      <c r="I502" s="1">
        <v>0</v>
      </c>
    </row>
    <row r="503" spans="1:9" hidden="1" x14ac:dyDescent="0.2">
      <c r="A503" t="s">
        <v>13</v>
      </c>
      <c r="B503" t="s">
        <v>14</v>
      </c>
      <c r="C503" t="s">
        <v>52</v>
      </c>
      <c r="D503" t="s">
        <v>28</v>
      </c>
      <c r="E503" s="1">
        <v>3405</v>
      </c>
      <c r="F503" s="1">
        <v>3400</v>
      </c>
      <c r="G503" s="1">
        <v>0</v>
      </c>
      <c r="H503" s="1">
        <v>0</v>
      </c>
      <c r="I503" s="1">
        <v>5</v>
      </c>
    </row>
    <row r="504" spans="1:9" hidden="1" x14ac:dyDescent="0.2">
      <c r="A504" t="s">
        <v>18</v>
      </c>
      <c r="B504" t="s">
        <v>19</v>
      </c>
      <c r="C504" t="s">
        <v>67</v>
      </c>
      <c r="D504" t="s">
        <v>28</v>
      </c>
      <c r="E504" s="1">
        <v>3300</v>
      </c>
      <c r="F504" s="1">
        <v>3300</v>
      </c>
      <c r="G504" s="1">
        <v>0</v>
      </c>
      <c r="H504" s="1">
        <v>0</v>
      </c>
      <c r="I504" s="1">
        <v>0</v>
      </c>
    </row>
    <row r="505" spans="1:9" hidden="1" x14ac:dyDescent="0.2">
      <c r="A505" t="s">
        <v>13</v>
      </c>
      <c r="B505" t="s">
        <v>14</v>
      </c>
      <c r="C505" t="s">
        <v>46</v>
      </c>
      <c r="D505" t="s">
        <v>34</v>
      </c>
      <c r="E505" s="1">
        <v>3250.8</v>
      </c>
      <c r="F505" s="1">
        <v>0.2</v>
      </c>
      <c r="G505" s="1">
        <v>0</v>
      </c>
      <c r="H505" s="1">
        <v>3230</v>
      </c>
      <c r="I505" s="1">
        <v>20.6</v>
      </c>
    </row>
    <row r="506" spans="1:9" hidden="1" x14ac:dyDescent="0.2">
      <c r="A506" t="s">
        <v>18</v>
      </c>
      <c r="B506" t="s">
        <v>19</v>
      </c>
      <c r="C506" t="s">
        <v>65</v>
      </c>
      <c r="D506" t="s">
        <v>28</v>
      </c>
      <c r="E506" s="1">
        <v>3200</v>
      </c>
      <c r="F506" s="1">
        <v>3200</v>
      </c>
      <c r="G506" s="1">
        <v>0</v>
      </c>
      <c r="H506" s="1">
        <v>0</v>
      </c>
      <c r="I506" s="1">
        <v>0</v>
      </c>
    </row>
    <row r="507" spans="1:9" hidden="1" x14ac:dyDescent="0.2">
      <c r="A507" t="s">
        <v>9</v>
      </c>
      <c r="B507" t="s">
        <v>10</v>
      </c>
      <c r="C507" t="s">
        <v>51</v>
      </c>
      <c r="D507" t="s">
        <v>35</v>
      </c>
      <c r="E507" s="1">
        <v>3160</v>
      </c>
      <c r="F507" s="1">
        <v>3150</v>
      </c>
      <c r="G507" s="1">
        <v>0</v>
      </c>
      <c r="H507" s="1">
        <v>5</v>
      </c>
      <c r="I507" s="1">
        <v>5</v>
      </c>
    </row>
    <row r="508" spans="1:9" hidden="1" x14ac:dyDescent="0.2">
      <c r="A508" t="s">
        <v>9</v>
      </c>
      <c r="B508" t="s">
        <v>10</v>
      </c>
      <c r="C508" t="s">
        <v>57</v>
      </c>
      <c r="D508" t="s">
        <v>35</v>
      </c>
      <c r="E508" s="1">
        <v>3155</v>
      </c>
      <c r="F508" s="1">
        <v>3150</v>
      </c>
      <c r="G508" s="1">
        <v>0</v>
      </c>
      <c r="H508" s="1">
        <v>5</v>
      </c>
      <c r="I508" s="1">
        <v>0</v>
      </c>
    </row>
    <row r="509" spans="1:9" hidden="1" x14ac:dyDescent="0.2">
      <c r="A509" t="s">
        <v>13</v>
      </c>
      <c r="B509" t="s">
        <v>14</v>
      </c>
      <c r="C509" t="s">
        <v>67</v>
      </c>
      <c r="D509" t="s">
        <v>34</v>
      </c>
      <c r="E509" s="1">
        <v>2970.1</v>
      </c>
      <c r="F509" s="1">
        <v>0.1</v>
      </c>
      <c r="G509" s="1">
        <v>0</v>
      </c>
      <c r="H509" s="1">
        <v>2970</v>
      </c>
      <c r="I509" s="1">
        <v>0</v>
      </c>
    </row>
    <row r="510" spans="1:9" hidden="1" x14ac:dyDescent="0.2">
      <c r="A510" t="s">
        <v>13</v>
      </c>
      <c r="B510" t="s">
        <v>14</v>
      </c>
      <c r="C510" t="s">
        <v>52</v>
      </c>
      <c r="D510" t="s">
        <v>34</v>
      </c>
      <c r="E510" s="1">
        <v>2901.3</v>
      </c>
      <c r="F510" s="1">
        <v>0.3</v>
      </c>
      <c r="G510" s="1">
        <v>0</v>
      </c>
      <c r="H510" s="1">
        <v>2900</v>
      </c>
      <c r="I510" s="1">
        <v>1</v>
      </c>
    </row>
    <row r="511" spans="1:9" hidden="1" x14ac:dyDescent="0.2">
      <c r="A511" t="s">
        <v>9</v>
      </c>
      <c r="B511" t="s">
        <v>10</v>
      </c>
      <c r="C511" t="s">
        <v>11</v>
      </c>
      <c r="D511" t="s">
        <v>36</v>
      </c>
      <c r="E511" s="1">
        <v>2850</v>
      </c>
      <c r="F511" s="1">
        <v>2350</v>
      </c>
      <c r="G511" s="1">
        <v>0</v>
      </c>
      <c r="H511" s="1">
        <v>250</v>
      </c>
      <c r="I511" s="1">
        <v>250</v>
      </c>
    </row>
    <row r="512" spans="1:9" hidden="1" x14ac:dyDescent="0.2">
      <c r="A512" t="s">
        <v>13</v>
      </c>
      <c r="B512" t="s">
        <v>14</v>
      </c>
      <c r="C512" t="s">
        <v>69</v>
      </c>
      <c r="D512" t="s">
        <v>34</v>
      </c>
      <c r="E512" s="1">
        <v>2830.4</v>
      </c>
      <c r="F512" s="1">
        <v>0.4</v>
      </c>
      <c r="G512" s="1">
        <v>0</v>
      </c>
      <c r="H512" s="1">
        <v>2830</v>
      </c>
      <c r="I512" s="1">
        <v>0</v>
      </c>
    </row>
    <row r="513" spans="1:9" hidden="1" x14ac:dyDescent="0.2">
      <c r="A513" t="s">
        <v>9</v>
      </c>
      <c r="B513" t="s">
        <v>10</v>
      </c>
      <c r="C513" t="s">
        <v>49</v>
      </c>
      <c r="D513" t="s">
        <v>36</v>
      </c>
      <c r="E513" s="1">
        <v>2750</v>
      </c>
      <c r="F513" s="1">
        <v>1750</v>
      </c>
      <c r="G513" s="1">
        <v>0</v>
      </c>
      <c r="H513" s="1">
        <v>750</v>
      </c>
      <c r="I513" s="1">
        <v>250</v>
      </c>
    </row>
    <row r="514" spans="1:9" hidden="1" x14ac:dyDescent="0.2">
      <c r="A514" t="s">
        <v>9</v>
      </c>
      <c r="B514" t="s">
        <v>10</v>
      </c>
      <c r="C514" t="s">
        <v>52</v>
      </c>
      <c r="D514" t="s">
        <v>48</v>
      </c>
      <c r="E514" s="1">
        <v>2600</v>
      </c>
      <c r="F514" s="1">
        <v>0</v>
      </c>
      <c r="G514" s="1">
        <v>0</v>
      </c>
      <c r="H514" s="1">
        <v>2600</v>
      </c>
      <c r="I514" s="1">
        <v>0</v>
      </c>
    </row>
    <row r="515" spans="1:9" hidden="1" x14ac:dyDescent="0.2">
      <c r="A515" t="s">
        <v>13</v>
      </c>
      <c r="B515" t="s">
        <v>14</v>
      </c>
      <c r="C515" t="s">
        <v>57</v>
      </c>
      <c r="D515" t="s">
        <v>34</v>
      </c>
      <c r="E515" s="1">
        <v>2575</v>
      </c>
      <c r="F515" s="1">
        <v>0.3</v>
      </c>
      <c r="G515" s="1">
        <v>0</v>
      </c>
      <c r="H515" s="1">
        <v>2560</v>
      </c>
      <c r="I515" s="1">
        <v>14.7</v>
      </c>
    </row>
    <row r="516" spans="1:9" hidden="1" x14ac:dyDescent="0.2">
      <c r="A516" t="s">
        <v>9</v>
      </c>
      <c r="B516" t="s">
        <v>10</v>
      </c>
      <c r="C516" t="s">
        <v>69</v>
      </c>
      <c r="D516" t="s">
        <v>35</v>
      </c>
      <c r="E516" s="1">
        <v>2555</v>
      </c>
      <c r="F516" s="1">
        <v>2550</v>
      </c>
      <c r="G516" s="1">
        <v>0</v>
      </c>
      <c r="H516" s="1">
        <v>5</v>
      </c>
      <c r="I516" s="1">
        <v>0</v>
      </c>
    </row>
    <row r="517" spans="1:9" hidden="1" x14ac:dyDescent="0.2">
      <c r="A517" t="s">
        <v>15</v>
      </c>
      <c r="B517" t="s">
        <v>16</v>
      </c>
      <c r="C517" t="s">
        <v>52</v>
      </c>
      <c r="D517" t="s">
        <v>12</v>
      </c>
      <c r="E517" s="1">
        <v>1136244.8999999999</v>
      </c>
      <c r="F517" s="1">
        <v>148.5</v>
      </c>
      <c r="G517" s="1">
        <v>0.6</v>
      </c>
      <c r="H517" s="1">
        <v>1132000</v>
      </c>
      <c r="I517" s="1">
        <v>4095.8</v>
      </c>
    </row>
    <row r="518" spans="1:9" hidden="1" x14ac:dyDescent="0.2">
      <c r="A518" t="s">
        <v>13</v>
      </c>
      <c r="B518" t="s">
        <v>14</v>
      </c>
      <c r="C518" t="s">
        <v>46</v>
      </c>
      <c r="D518" t="s">
        <v>25</v>
      </c>
      <c r="E518" s="1">
        <v>2500</v>
      </c>
      <c r="F518" s="1">
        <v>2500</v>
      </c>
      <c r="G518" s="1">
        <v>0</v>
      </c>
      <c r="H518" s="1">
        <v>0</v>
      </c>
      <c r="I518" s="1">
        <v>0</v>
      </c>
    </row>
    <row r="519" spans="1:9" hidden="1" x14ac:dyDescent="0.2">
      <c r="A519" t="s">
        <v>13</v>
      </c>
      <c r="B519" t="s">
        <v>14</v>
      </c>
      <c r="C519" t="s">
        <v>49</v>
      </c>
      <c r="D519" t="s">
        <v>25</v>
      </c>
      <c r="E519" s="1">
        <v>2500</v>
      </c>
      <c r="F519" s="1">
        <v>2500</v>
      </c>
      <c r="G519" s="1">
        <v>0</v>
      </c>
      <c r="H519" s="1">
        <v>0</v>
      </c>
      <c r="I519" s="1">
        <v>0</v>
      </c>
    </row>
    <row r="520" spans="1:9" hidden="1" x14ac:dyDescent="0.2">
      <c r="A520" t="s">
        <v>9</v>
      </c>
      <c r="B520" t="s">
        <v>10</v>
      </c>
      <c r="C520" t="s">
        <v>51</v>
      </c>
      <c r="D520" t="s">
        <v>48</v>
      </c>
      <c r="E520" s="1">
        <v>2500</v>
      </c>
      <c r="F520" s="1">
        <v>0</v>
      </c>
      <c r="G520" s="1">
        <v>0</v>
      </c>
      <c r="H520" s="1">
        <v>2500</v>
      </c>
      <c r="I520" s="1">
        <v>0</v>
      </c>
    </row>
    <row r="521" spans="1:9" hidden="1" x14ac:dyDescent="0.2">
      <c r="A521" t="s">
        <v>18</v>
      </c>
      <c r="B521" t="s">
        <v>19</v>
      </c>
      <c r="C521" t="s">
        <v>52</v>
      </c>
      <c r="D521" t="s">
        <v>28</v>
      </c>
      <c r="E521" s="1">
        <v>2500</v>
      </c>
      <c r="F521" s="1">
        <v>2500</v>
      </c>
      <c r="G521" s="1">
        <v>0</v>
      </c>
      <c r="H521" s="1">
        <v>0</v>
      </c>
      <c r="I521" s="1">
        <v>0</v>
      </c>
    </row>
    <row r="522" spans="1:9" x14ac:dyDescent="0.2">
      <c r="A522" t="s">
        <v>15</v>
      </c>
      <c r="B522" t="s">
        <v>16</v>
      </c>
      <c r="C522" t="s">
        <v>67</v>
      </c>
      <c r="D522" t="s">
        <v>26</v>
      </c>
      <c r="E522" s="1">
        <v>293905</v>
      </c>
      <c r="F522" s="1">
        <v>33750</v>
      </c>
      <c r="G522" s="1">
        <v>250</v>
      </c>
      <c r="H522" s="1">
        <v>254300</v>
      </c>
      <c r="I522" s="1">
        <v>5605</v>
      </c>
    </row>
    <row r="523" spans="1:9" hidden="1" x14ac:dyDescent="0.2">
      <c r="A523" t="s">
        <v>13</v>
      </c>
      <c r="B523" t="s">
        <v>14</v>
      </c>
      <c r="C523" t="s">
        <v>65</v>
      </c>
      <c r="D523" t="s">
        <v>34</v>
      </c>
      <c r="E523" s="1">
        <v>2404.1</v>
      </c>
      <c r="F523" s="1">
        <v>0.1</v>
      </c>
      <c r="G523" s="1">
        <v>0</v>
      </c>
      <c r="H523" s="1">
        <v>2404</v>
      </c>
      <c r="I523" s="1">
        <v>0</v>
      </c>
    </row>
    <row r="524" spans="1:9" hidden="1" x14ac:dyDescent="0.2">
      <c r="A524" t="s">
        <v>9</v>
      </c>
      <c r="B524" t="s">
        <v>10</v>
      </c>
      <c r="C524" t="s">
        <v>67</v>
      </c>
      <c r="D524" t="s">
        <v>35</v>
      </c>
      <c r="E524" s="1">
        <v>2350</v>
      </c>
      <c r="F524" s="1">
        <v>2350</v>
      </c>
      <c r="G524" s="1">
        <v>0</v>
      </c>
      <c r="H524" s="1">
        <v>0</v>
      </c>
      <c r="I524" s="1">
        <v>0</v>
      </c>
    </row>
    <row r="525" spans="1:9" hidden="1" x14ac:dyDescent="0.2">
      <c r="A525" t="s">
        <v>13</v>
      </c>
      <c r="B525" t="s">
        <v>14</v>
      </c>
      <c r="C525" t="s">
        <v>61</v>
      </c>
      <c r="D525" t="s">
        <v>34</v>
      </c>
      <c r="E525" s="1">
        <v>2331.1</v>
      </c>
      <c r="F525" s="1">
        <v>0.1</v>
      </c>
      <c r="G525" s="1">
        <v>0</v>
      </c>
      <c r="H525" s="1">
        <v>2331</v>
      </c>
      <c r="I525" s="1">
        <v>0</v>
      </c>
    </row>
    <row r="526" spans="1:9" hidden="1" x14ac:dyDescent="0.2">
      <c r="A526" t="s">
        <v>13</v>
      </c>
      <c r="B526" t="s">
        <v>14</v>
      </c>
      <c r="C526" t="s">
        <v>51</v>
      </c>
      <c r="D526" t="s">
        <v>34</v>
      </c>
      <c r="E526" s="1">
        <v>2330.1999999999998</v>
      </c>
      <c r="F526" s="1">
        <v>0.2</v>
      </c>
      <c r="G526" s="1">
        <v>0</v>
      </c>
      <c r="H526" s="1">
        <v>2330</v>
      </c>
      <c r="I526" s="1">
        <v>0</v>
      </c>
    </row>
    <row r="527" spans="1:9" hidden="1" x14ac:dyDescent="0.2">
      <c r="A527" t="s">
        <v>9</v>
      </c>
      <c r="B527" t="s">
        <v>10</v>
      </c>
      <c r="C527" t="s">
        <v>46</v>
      </c>
      <c r="D527" t="s">
        <v>36</v>
      </c>
      <c r="E527" s="1">
        <v>2300</v>
      </c>
      <c r="F527" s="1">
        <v>2050</v>
      </c>
      <c r="G527" s="1">
        <v>0</v>
      </c>
      <c r="H527" s="1">
        <v>250</v>
      </c>
      <c r="I527" s="1">
        <v>0</v>
      </c>
    </row>
    <row r="528" spans="1:9" hidden="1" x14ac:dyDescent="0.2">
      <c r="A528" t="s">
        <v>9</v>
      </c>
      <c r="B528" t="s">
        <v>10</v>
      </c>
      <c r="C528" t="s">
        <v>61</v>
      </c>
      <c r="D528" t="s">
        <v>35</v>
      </c>
      <c r="E528" s="1">
        <v>2300</v>
      </c>
      <c r="F528" s="1">
        <v>2050</v>
      </c>
      <c r="G528" s="1">
        <v>0</v>
      </c>
      <c r="H528" s="1">
        <v>0</v>
      </c>
      <c r="I528" s="1">
        <v>250</v>
      </c>
    </row>
    <row r="529" spans="1:9" hidden="1" x14ac:dyDescent="0.2">
      <c r="A529" t="s">
        <v>15</v>
      </c>
      <c r="B529" t="s">
        <v>16</v>
      </c>
      <c r="C529" t="s">
        <v>51</v>
      </c>
      <c r="D529" t="s">
        <v>12</v>
      </c>
      <c r="E529" s="1">
        <v>1887110.8</v>
      </c>
      <c r="F529" s="1">
        <v>49.4</v>
      </c>
      <c r="G529" s="1">
        <v>0</v>
      </c>
      <c r="H529" s="1">
        <v>1883000</v>
      </c>
      <c r="I529" s="1">
        <v>4061.4</v>
      </c>
    </row>
    <row r="530" spans="1:9" hidden="1" x14ac:dyDescent="0.2">
      <c r="A530" t="s">
        <v>15</v>
      </c>
      <c r="B530" t="s">
        <v>16</v>
      </c>
      <c r="C530" t="s">
        <v>49</v>
      </c>
      <c r="D530" t="s">
        <v>12</v>
      </c>
      <c r="E530" s="1">
        <v>2410491.2000000002</v>
      </c>
      <c r="F530" s="1">
        <v>58</v>
      </c>
      <c r="G530" s="1">
        <v>0</v>
      </c>
      <c r="H530" s="1">
        <v>2405000</v>
      </c>
      <c r="I530" s="1">
        <v>5433.2</v>
      </c>
    </row>
    <row r="531" spans="1:9" hidden="1" x14ac:dyDescent="0.2">
      <c r="A531" t="s">
        <v>13</v>
      </c>
      <c r="B531" t="s">
        <v>14</v>
      </c>
      <c r="C531" t="s">
        <v>11</v>
      </c>
      <c r="D531" t="s">
        <v>25</v>
      </c>
      <c r="E531" s="1">
        <v>2200</v>
      </c>
      <c r="F531" s="1">
        <v>2200</v>
      </c>
      <c r="G531" s="1">
        <v>0</v>
      </c>
      <c r="H531" s="1">
        <v>0</v>
      </c>
      <c r="I531" s="1">
        <v>0</v>
      </c>
    </row>
    <row r="532" spans="1:9" hidden="1" x14ac:dyDescent="0.2">
      <c r="A532" t="s">
        <v>9</v>
      </c>
      <c r="B532" t="s">
        <v>10</v>
      </c>
      <c r="C532" t="s">
        <v>65</v>
      </c>
      <c r="D532" t="s">
        <v>35</v>
      </c>
      <c r="E532" s="1">
        <v>2155</v>
      </c>
      <c r="F532" s="1">
        <v>2150</v>
      </c>
      <c r="G532" s="1">
        <v>0</v>
      </c>
      <c r="H532" s="1">
        <v>5</v>
      </c>
      <c r="I532" s="1">
        <v>0</v>
      </c>
    </row>
    <row r="533" spans="1:9" hidden="1" x14ac:dyDescent="0.2">
      <c r="A533" t="s">
        <v>13</v>
      </c>
      <c r="B533" t="s">
        <v>14</v>
      </c>
      <c r="C533" t="s">
        <v>65</v>
      </c>
      <c r="D533" t="s">
        <v>40</v>
      </c>
      <c r="E533" s="1">
        <v>2100</v>
      </c>
      <c r="F533" s="1">
        <v>0</v>
      </c>
      <c r="G533" s="1">
        <v>0</v>
      </c>
      <c r="H533" s="1">
        <v>2100</v>
      </c>
      <c r="I533" s="1">
        <v>0</v>
      </c>
    </row>
    <row r="534" spans="1:9" x14ac:dyDescent="0.2">
      <c r="A534" t="s">
        <v>15</v>
      </c>
      <c r="B534" t="s">
        <v>16</v>
      </c>
      <c r="C534" t="s">
        <v>67</v>
      </c>
      <c r="D534" t="s">
        <v>12</v>
      </c>
      <c r="E534" s="1">
        <v>3834640.7</v>
      </c>
      <c r="F534" s="1">
        <v>391.3</v>
      </c>
      <c r="G534" s="1">
        <v>0.3</v>
      </c>
      <c r="H534" s="1">
        <v>3821000</v>
      </c>
      <c r="I534" s="1">
        <v>13249.1</v>
      </c>
    </row>
    <row r="535" spans="1:9" x14ac:dyDescent="0.2">
      <c r="A535" t="s">
        <v>15</v>
      </c>
      <c r="B535" t="s">
        <v>16</v>
      </c>
      <c r="C535" t="s">
        <v>69</v>
      </c>
      <c r="D535" t="s">
        <v>26</v>
      </c>
      <c r="E535" s="1">
        <v>126665</v>
      </c>
      <c r="F535" s="1">
        <v>6350</v>
      </c>
      <c r="G535" s="1">
        <v>5</v>
      </c>
      <c r="H535" s="1">
        <v>113800</v>
      </c>
      <c r="I535" s="1">
        <v>6510</v>
      </c>
    </row>
    <row r="536" spans="1:9" hidden="1" x14ac:dyDescent="0.2">
      <c r="A536" t="s">
        <v>15</v>
      </c>
      <c r="B536" t="s">
        <v>16</v>
      </c>
      <c r="C536" t="s">
        <v>46</v>
      </c>
      <c r="D536" t="s">
        <v>12</v>
      </c>
      <c r="E536" s="1">
        <v>3651180.7</v>
      </c>
      <c r="F536" s="1">
        <v>57.7</v>
      </c>
      <c r="G536" s="1">
        <v>0</v>
      </c>
      <c r="H536" s="1">
        <v>3647000</v>
      </c>
      <c r="I536" s="1">
        <v>4123</v>
      </c>
    </row>
    <row r="537" spans="1:9" x14ac:dyDescent="0.2">
      <c r="A537" t="s">
        <v>15</v>
      </c>
      <c r="B537" t="s">
        <v>16</v>
      </c>
      <c r="C537" t="s">
        <v>69</v>
      </c>
      <c r="D537" t="s">
        <v>20</v>
      </c>
      <c r="E537" s="1">
        <v>280005</v>
      </c>
      <c r="F537" s="1">
        <v>5</v>
      </c>
      <c r="G537" s="1">
        <v>0</v>
      </c>
      <c r="H537" s="1">
        <v>280000</v>
      </c>
      <c r="I537" s="1">
        <v>0</v>
      </c>
    </row>
    <row r="538" spans="1:9" x14ac:dyDescent="0.2">
      <c r="A538" t="s">
        <v>15</v>
      </c>
      <c r="B538" t="s">
        <v>16</v>
      </c>
      <c r="C538" t="s">
        <v>69</v>
      </c>
      <c r="D538" t="s">
        <v>12</v>
      </c>
      <c r="E538" s="1">
        <v>3215244</v>
      </c>
      <c r="F538" s="1">
        <v>286.7</v>
      </c>
      <c r="G538" s="1">
        <v>0</v>
      </c>
      <c r="H538" s="1">
        <v>3210000</v>
      </c>
      <c r="I538" s="1">
        <v>4957.3</v>
      </c>
    </row>
    <row r="539" spans="1:9" hidden="1" x14ac:dyDescent="0.2">
      <c r="A539" t="s">
        <v>9</v>
      </c>
      <c r="B539" t="s">
        <v>10</v>
      </c>
      <c r="C539" t="s">
        <v>51</v>
      </c>
      <c r="D539" t="s">
        <v>36</v>
      </c>
      <c r="E539" s="1">
        <v>1860</v>
      </c>
      <c r="F539" s="1">
        <v>1850</v>
      </c>
      <c r="G539" s="1">
        <v>0</v>
      </c>
      <c r="H539" s="1">
        <v>5</v>
      </c>
      <c r="I539" s="1">
        <v>5</v>
      </c>
    </row>
    <row r="540" spans="1:9" hidden="1" x14ac:dyDescent="0.2">
      <c r="A540" t="s">
        <v>9</v>
      </c>
      <c r="B540" t="s">
        <v>10</v>
      </c>
      <c r="C540" t="s">
        <v>11</v>
      </c>
      <c r="D540" t="s">
        <v>37</v>
      </c>
      <c r="E540" s="1">
        <v>1855</v>
      </c>
      <c r="F540" s="1">
        <v>1350</v>
      </c>
      <c r="G540" s="1">
        <v>0</v>
      </c>
      <c r="H540" s="1">
        <v>5</v>
      </c>
      <c r="I540" s="1">
        <v>500</v>
      </c>
    </row>
    <row r="541" spans="1:9" hidden="1" x14ac:dyDescent="0.2">
      <c r="A541" t="s">
        <v>15</v>
      </c>
      <c r="B541" t="s">
        <v>16</v>
      </c>
      <c r="C541" t="s">
        <v>11</v>
      </c>
      <c r="D541" t="s">
        <v>36</v>
      </c>
      <c r="E541" s="1" t="s">
        <v>42</v>
      </c>
      <c r="F541" s="1">
        <v>0</v>
      </c>
      <c r="G541" s="1">
        <v>0</v>
      </c>
      <c r="H541" s="1">
        <v>0</v>
      </c>
      <c r="I541" s="1">
        <v>0</v>
      </c>
    </row>
    <row r="542" spans="1:9" hidden="1" x14ac:dyDescent="0.2">
      <c r="A542" t="s">
        <v>15</v>
      </c>
      <c r="B542" t="s">
        <v>16</v>
      </c>
      <c r="C542" t="s">
        <v>11</v>
      </c>
      <c r="D542" t="s">
        <v>35</v>
      </c>
      <c r="E542" s="1" t="s">
        <v>42</v>
      </c>
      <c r="F542" s="1">
        <v>0</v>
      </c>
      <c r="G542" s="1">
        <v>0</v>
      </c>
      <c r="H542" s="1">
        <v>0</v>
      </c>
      <c r="I542" s="1">
        <v>0</v>
      </c>
    </row>
    <row r="543" spans="1:9" hidden="1" x14ac:dyDescent="0.2">
      <c r="A543" t="s">
        <v>15</v>
      </c>
      <c r="B543" t="s">
        <v>16</v>
      </c>
      <c r="C543" t="s">
        <v>11</v>
      </c>
      <c r="D543" t="s">
        <v>40</v>
      </c>
      <c r="E543" s="1" t="s">
        <v>42</v>
      </c>
      <c r="F543" s="1">
        <v>0</v>
      </c>
      <c r="G543" s="1">
        <v>0</v>
      </c>
      <c r="H543" s="1">
        <v>0</v>
      </c>
      <c r="I543" s="1">
        <v>0</v>
      </c>
    </row>
    <row r="544" spans="1:9" hidden="1" x14ac:dyDescent="0.2">
      <c r="A544" t="s">
        <v>15</v>
      </c>
      <c r="B544" t="s">
        <v>16</v>
      </c>
      <c r="C544" t="s">
        <v>46</v>
      </c>
      <c r="D544" t="s">
        <v>36</v>
      </c>
      <c r="E544" s="1" t="s">
        <v>42</v>
      </c>
      <c r="F544" s="1">
        <v>0</v>
      </c>
      <c r="G544" s="1">
        <v>0</v>
      </c>
      <c r="H544" s="1">
        <v>0</v>
      </c>
      <c r="I544" s="1">
        <v>0</v>
      </c>
    </row>
    <row r="545" spans="1:9" hidden="1" x14ac:dyDescent="0.2">
      <c r="A545" t="s">
        <v>9</v>
      </c>
      <c r="B545" t="s">
        <v>10</v>
      </c>
      <c r="C545" t="s">
        <v>57</v>
      </c>
      <c r="D545" t="s">
        <v>38</v>
      </c>
      <c r="E545" s="1">
        <v>1755</v>
      </c>
      <c r="F545" s="1">
        <v>1000</v>
      </c>
      <c r="G545" s="1">
        <v>0</v>
      </c>
      <c r="H545" s="1">
        <v>5</v>
      </c>
      <c r="I545" s="1">
        <v>750</v>
      </c>
    </row>
    <row r="546" spans="1:9" hidden="1" x14ac:dyDescent="0.2">
      <c r="A546" t="s">
        <v>9</v>
      </c>
      <c r="B546" t="s">
        <v>10</v>
      </c>
      <c r="C546" t="s">
        <v>52</v>
      </c>
      <c r="D546" t="s">
        <v>36</v>
      </c>
      <c r="E546" s="1">
        <v>1705</v>
      </c>
      <c r="F546" s="1">
        <v>1450</v>
      </c>
      <c r="G546" s="1">
        <v>0</v>
      </c>
      <c r="H546" s="1">
        <v>5</v>
      </c>
      <c r="I546" s="1">
        <v>250</v>
      </c>
    </row>
    <row r="547" spans="1:9" hidden="1" x14ac:dyDescent="0.2">
      <c r="A547" t="s">
        <v>15</v>
      </c>
      <c r="B547" t="s">
        <v>16</v>
      </c>
      <c r="C547" t="s">
        <v>46</v>
      </c>
      <c r="D547" t="s">
        <v>35</v>
      </c>
      <c r="E547" s="1" t="s">
        <v>42</v>
      </c>
      <c r="F547" s="1">
        <v>0</v>
      </c>
      <c r="G547" s="1">
        <v>0</v>
      </c>
      <c r="H547" s="1">
        <v>0</v>
      </c>
      <c r="I547" s="1">
        <v>0</v>
      </c>
    </row>
    <row r="548" spans="1:9" hidden="1" x14ac:dyDescent="0.2">
      <c r="A548" t="s">
        <v>9</v>
      </c>
      <c r="B548" t="s">
        <v>10</v>
      </c>
      <c r="C548" t="s">
        <v>52</v>
      </c>
      <c r="D548" t="s">
        <v>43</v>
      </c>
      <c r="E548" s="1">
        <v>1650</v>
      </c>
      <c r="F548" s="1">
        <v>1400</v>
      </c>
      <c r="G548" s="1">
        <v>0</v>
      </c>
      <c r="H548" s="1">
        <v>0</v>
      </c>
      <c r="I548" s="1">
        <v>250</v>
      </c>
    </row>
    <row r="549" spans="1:9" hidden="1" x14ac:dyDescent="0.2">
      <c r="A549" t="s">
        <v>15</v>
      </c>
      <c r="B549" t="s">
        <v>16</v>
      </c>
      <c r="C549" t="s">
        <v>46</v>
      </c>
      <c r="D549" t="s">
        <v>40</v>
      </c>
      <c r="E549" s="1" t="s">
        <v>42</v>
      </c>
      <c r="F549" s="1">
        <v>0</v>
      </c>
      <c r="G549" s="1">
        <v>0</v>
      </c>
      <c r="H549" s="1">
        <v>0</v>
      </c>
      <c r="I549" s="1">
        <v>0</v>
      </c>
    </row>
    <row r="550" spans="1:9" hidden="1" x14ac:dyDescent="0.2">
      <c r="A550" t="s">
        <v>9</v>
      </c>
      <c r="B550" t="s">
        <v>10</v>
      </c>
      <c r="C550" t="s">
        <v>57</v>
      </c>
      <c r="D550" t="s">
        <v>36</v>
      </c>
      <c r="E550" s="1">
        <v>1605</v>
      </c>
      <c r="F550" s="1">
        <v>1350</v>
      </c>
      <c r="G550" s="1">
        <v>0</v>
      </c>
      <c r="H550" s="1">
        <v>5</v>
      </c>
      <c r="I550" s="1">
        <v>250</v>
      </c>
    </row>
    <row r="551" spans="1:9" hidden="1" x14ac:dyDescent="0.2">
      <c r="A551" t="s">
        <v>15</v>
      </c>
      <c r="B551" t="s">
        <v>16</v>
      </c>
      <c r="C551" t="s">
        <v>49</v>
      </c>
      <c r="D551" t="s">
        <v>35</v>
      </c>
      <c r="E551" s="1" t="s">
        <v>42</v>
      </c>
      <c r="F551" s="1">
        <v>0</v>
      </c>
      <c r="G551" s="1">
        <v>0</v>
      </c>
      <c r="H551" s="1">
        <v>0</v>
      </c>
      <c r="I551" s="1">
        <v>0</v>
      </c>
    </row>
    <row r="552" spans="1:9" hidden="1" x14ac:dyDescent="0.2">
      <c r="A552" t="s">
        <v>15</v>
      </c>
      <c r="B552" t="s">
        <v>16</v>
      </c>
      <c r="C552" t="s">
        <v>49</v>
      </c>
      <c r="D552" t="s">
        <v>40</v>
      </c>
      <c r="E552" s="1" t="s">
        <v>42</v>
      </c>
      <c r="F552" s="1">
        <v>0</v>
      </c>
      <c r="G552" s="1">
        <v>0</v>
      </c>
      <c r="H552" s="1">
        <v>0</v>
      </c>
      <c r="I552" s="1">
        <v>0</v>
      </c>
    </row>
    <row r="553" spans="1:9" hidden="1" x14ac:dyDescent="0.2">
      <c r="A553" t="s">
        <v>15</v>
      </c>
      <c r="B553" t="s">
        <v>16</v>
      </c>
      <c r="C553" t="s">
        <v>51</v>
      </c>
      <c r="D553" t="s">
        <v>36</v>
      </c>
      <c r="E553" s="1" t="s">
        <v>42</v>
      </c>
      <c r="F553" s="1">
        <v>0</v>
      </c>
      <c r="G553" s="1">
        <v>0</v>
      </c>
      <c r="H553" s="1">
        <v>0</v>
      </c>
      <c r="I553" s="1">
        <v>0</v>
      </c>
    </row>
    <row r="554" spans="1:9" hidden="1" x14ac:dyDescent="0.2">
      <c r="A554" t="s">
        <v>13</v>
      </c>
      <c r="B554" t="s">
        <v>14</v>
      </c>
      <c r="C554" t="s">
        <v>49</v>
      </c>
      <c r="D554" t="s">
        <v>28</v>
      </c>
      <c r="E554" s="1">
        <v>1502</v>
      </c>
      <c r="F554" s="1">
        <v>1500</v>
      </c>
      <c r="G554" s="1">
        <v>0</v>
      </c>
      <c r="H554" s="1">
        <v>0</v>
      </c>
      <c r="I554" s="1">
        <v>2</v>
      </c>
    </row>
    <row r="555" spans="1:9" hidden="1" x14ac:dyDescent="0.2">
      <c r="A555" t="s">
        <v>9</v>
      </c>
      <c r="B555" t="s">
        <v>10</v>
      </c>
      <c r="C555" t="s">
        <v>46</v>
      </c>
      <c r="D555" t="s">
        <v>38</v>
      </c>
      <c r="E555" s="1">
        <v>1500</v>
      </c>
      <c r="F555" s="1">
        <v>1000</v>
      </c>
      <c r="G555" s="1">
        <v>0</v>
      </c>
      <c r="H555" s="1">
        <v>250</v>
      </c>
      <c r="I555" s="1">
        <v>250</v>
      </c>
    </row>
    <row r="556" spans="1:9" hidden="1" x14ac:dyDescent="0.2">
      <c r="A556" t="s">
        <v>15</v>
      </c>
      <c r="B556" t="s">
        <v>16</v>
      </c>
      <c r="C556" t="s">
        <v>51</v>
      </c>
      <c r="D556" t="s">
        <v>35</v>
      </c>
      <c r="E556" s="1" t="s">
        <v>42</v>
      </c>
      <c r="F556" s="1">
        <v>0</v>
      </c>
      <c r="G556" s="1">
        <v>0</v>
      </c>
      <c r="H556" s="1">
        <v>0</v>
      </c>
      <c r="I556" s="1">
        <v>0</v>
      </c>
    </row>
    <row r="557" spans="1:9" hidden="1" x14ac:dyDescent="0.2">
      <c r="A557" t="s">
        <v>9</v>
      </c>
      <c r="B557" t="s">
        <v>10</v>
      </c>
      <c r="C557" t="s">
        <v>49</v>
      </c>
      <c r="D557" t="s">
        <v>38</v>
      </c>
      <c r="E557" s="1">
        <v>1500</v>
      </c>
      <c r="F557" s="1">
        <v>1000</v>
      </c>
      <c r="G557" s="1">
        <v>0</v>
      </c>
      <c r="H557" s="1">
        <v>250</v>
      </c>
      <c r="I557" s="1">
        <v>250</v>
      </c>
    </row>
    <row r="558" spans="1:9" hidden="1" x14ac:dyDescent="0.2">
      <c r="A558" t="s">
        <v>9</v>
      </c>
      <c r="B558" t="s">
        <v>10</v>
      </c>
      <c r="C558" t="s">
        <v>49</v>
      </c>
      <c r="D558" t="s">
        <v>37</v>
      </c>
      <c r="E558" s="1">
        <v>1500</v>
      </c>
      <c r="F558" s="1">
        <v>1000</v>
      </c>
      <c r="G558" s="1">
        <v>0</v>
      </c>
      <c r="H558" s="1">
        <v>250</v>
      </c>
      <c r="I558" s="1">
        <v>250</v>
      </c>
    </row>
    <row r="559" spans="1:9" hidden="1" x14ac:dyDescent="0.2">
      <c r="A559" t="s">
        <v>9</v>
      </c>
      <c r="B559" t="s">
        <v>10</v>
      </c>
      <c r="C559" t="s">
        <v>51</v>
      </c>
      <c r="D559" t="s">
        <v>43</v>
      </c>
      <c r="E559" s="1">
        <v>1500</v>
      </c>
      <c r="F559" s="1">
        <v>750</v>
      </c>
      <c r="G559" s="1">
        <v>0</v>
      </c>
      <c r="H559" s="1">
        <v>0</v>
      </c>
      <c r="I559" s="1">
        <v>750</v>
      </c>
    </row>
    <row r="560" spans="1:9" hidden="1" x14ac:dyDescent="0.2">
      <c r="A560" t="s">
        <v>15</v>
      </c>
      <c r="B560" t="s">
        <v>16</v>
      </c>
      <c r="C560" t="s">
        <v>51</v>
      </c>
      <c r="D560" t="s">
        <v>40</v>
      </c>
      <c r="E560" s="1" t="s">
        <v>42</v>
      </c>
      <c r="F560" s="1">
        <v>0</v>
      </c>
      <c r="G560" s="1">
        <v>0</v>
      </c>
      <c r="H560" s="1">
        <v>0</v>
      </c>
      <c r="I560" s="1">
        <v>0</v>
      </c>
    </row>
    <row r="561" spans="1:9" hidden="1" x14ac:dyDescent="0.2">
      <c r="A561" t="s">
        <v>9</v>
      </c>
      <c r="B561" t="s">
        <v>10</v>
      </c>
      <c r="C561" t="s">
        <v>57</v>
      </c>
      <c r="D561" t="s">
        <v>43</v>
      </c>
      <c r="E561" s="1">
        <v>1350</v>
      </c>
      <c r="F561" s="1">
        <v>1100</v>
      </c>
      <c r="G561" s="1">
        <v>0</v>
      </c>
      <c r="H561" s="1">
        <v>0</v>
      </c>
      <c r="I561" s="1">
        <v>250</v>
      </c>
    </row>
    <row r="562" spans="1:9" hidden="1" x14ac:dyDescent="0.2">
      <c r="A562" t="s">
        <v>9</v>
      </c>
      <c r="B562" t="s">
        <v>10</v>
      </c>
      <c r="C562" t="s">
        <v>11</v>
      </c>
      <c r="D562" t="s">
        <v>38</v>
      </c>
      <c r="E562" s="1">
        <v>1255</v>
      </c>
      <c r="F562" s="1">
        <v>1000</v>
      </c>
      <c r="G562" s="1">
        <v>0</v>
      </c>
      <c r="H562" s="1">
        <v>5</v>
      </c>
      <c r="I562" s="1">
        <v>250</v>
      </c>
    </row>
    <row r="563" spans="1:9" hidden="1" x14ac:dyDescent="0.2">
      <c r="A563" t="s">
        <v>9</v>
      </c>
      <c r="B563" t="s">
        <v>10</v>
      </c>
      <c r="C563" t="s">
        <v>51</v>
      </c>
      <c r="D563" t="s">
        <v>38</v>
      </c>
      <c r="E563" s="1">
        <v>1255</v>
      </c>
      <c r="F563" s="1">
        <v>1000</v>
      </c>
      <c r="G563" s="1">
        <v>0</v>
      </c>
      <c r="H563" s="1">
        <v>5</v>
      </c>
      <c r="I563" s="1">
        <v>250</v>
      </c>
    </row>
    <row r="564" spans="1:9" hidden="1" x14ac:dyDescent="0.2">
      <c r="A564" t="s">
        <v>9</v>
      </c>
      <c r="B564" t="s">
        <v>10</v>
      </c>
      <c r="C564" t="s">
        <v>52</v>
      </c>
      <c r="D564" t="s">
        <v>38</v>
      </c>
      <c r="E564" s="1">
        <v>1255</v>
      </c>
      <c r="F564" s="1">
        <v>1000</v>
      </c>
      <c r="G564" s="1">
        <v>0</v>
      </c>
      <c r="H564" s="1">
        <v>5</v>
      </c>
      <c r="I564" s="1">
        <v>250</v>
      </c>
    </row>
    <row r="565" spans="1:9" hidden="1" x14ac:dyDescent="0.2">
      <c r="A565" t="s">
        <v>9</v>
      </c>
      <c r="B565" t="s">
        <v>10</v>
      </c>
      <c r="C565" t="s">
        <v>52</v>
      </c>
      <c r="D565" t="s">
        <v>37</v>
      </c>
      <c r="E565" s="1">
        <v>1255</v>
      </c>
      <c r="F565" s="1">
        <v>1000</v>
      </c>
      <c r="G565" s="1">
        <v>0</v>
      </c>
      <c r="H565" s="1">
        <v>5</v>
      </c>
      <c r="I565" s="1">
        <v>250</v>
      </c>
    </row>
    <row r="566" spans="1:9" hidden="1" x14ac:dyDescent="0.2">
      <c r="A566" t="s">
        <v>9</v>
      </c>
      <c r="B566" t="s">
        <v>10</v>
      </c>
      <c r="C566" t="s">
        <v>67</v>
      </c>
      <c r="D566" t="s">
        <v>37</v>
      </c>
      <c r="E566" s="1">
        <v>1255</v>
      </c>
      <c r="F566" s="1">
        <v>750</v>
      </c>
      <c r="G566" s="1">
        <v>0</v>
      </c>
      <c r="H566" s="1">
        <v>250</v>
      </c>
      <c r="I566" s="1">
        <v>255</v>
      </c>
    </row>
    <row r="567" spans="1:9" hidden="1" x14ac:dyDescent="0.2">
      <c r="A567" t="s">
        <v>15</v>
      </c>
      <c r="B567" t="s">
        <v>16</v>
      </c>
      <c r="C567" t="s">
        <v>52</v>
      </c>
      <c r="D567" t="s">
        <v>36</v>
      </c>
      <c r="E567" s="1" t="s">
        <v>42</v>
      </c>
      <c r="F567" s="1">
        <v>0</v>
      </c>
      <c r="G567" s="1">
        <v>0</v>
      </c>
      <c r="H567" s="1">
        <v>0</v>
      </c>
      <c r="I567" s="1">
        <v>0</v>
      </c>
    </row>
    <row r="568" spans="1:9" hidden="1" x14ac:dyDescent="0.2">
      <c r="A568" t="s">
        <v>9</v>
      </c>
      <c r="B568" t="s">
        <v>10</v>
      </c>
      <c r="C568" t="s">
        <v>46</v>
      </c>
      <c r="D568" t="s">
        <v>37</v>
      </c>
      <c r="E568" s="1">
        <v>1250</v>
      </c>
      <c r="F568" s="1">
        <v>1000</v>
      </c>
      <c r="G568" s="1">
        <v>0</v>
      </c>
      <c r="H568" s="1">
        <v>250</v>
      </c>
      <c r="I568" s="1">
        <v>0</v>
      </c>
    </row>
    <row r="569" spans="1:9" hidden="1" x14ac:dyDescent="0.2">
      <c r="A569" t="s">
        <v>9</v>
      </c>
      <c r="B569" t="s">
        <v>10</v>
      </c>
      <c r="C569" t="s">
        <v>57</v>
      </c>
      <c r="D569" t="s">
        <v>37</v>
      </c>
      <c r="E569" s="1">
        <v>1250</v>
      </c>
      <c r="F569" s="1">
        <v>1000</v>
      </c>
      <c r="G569" s="1">
        <v>0</v>
      </c>
      <c r="H569" s="1">
        <v>250</v>
      </c>
      <c r="I569" s="1">
        <v>0</v>
      </c>
    </row>
    <row r="570" spans="1:9" hidden="1" x14ac:dyDescent="0.2">
      <c r="A570" t="s">
        <v>9</v>
      </c>
      <c r="B570" t="s">
        <v>10</v>
      </c>
      <c r="C570" t="s">
        <v>65</v>
      </c>
      <c r="D570" t="s">
        <v>37</v>
      </c>
      <c r="E570" s="1">
        <v>1250</v>
      </c>
      <c r="F570" s="1">
        <v>750</v>
      </c>
      <c r="G570" s="1">
        <v>0</v>
      </c>
      <c r="H570" s="1">
        <v>250</v>
      </c>
      <c r="I570" s="1">
        <v>250</v>
      </c>
    </row>
    <row r="571" spans="1:9" hidden="1" x14ac:dyDescent="0.2">
      <c r="A571" t="s">
        <v>15</v>
      </c>
      <c r="B571" t="s">
        <v>16</v>
      </c>
      <c r="C571" t="s">
        <v>52</v>
      </c>
      <c r="D571" t="s">
        <v>35</v>
      </c>
      <c r="E571" s="1" t="s">
        <v>42</v>
      </c>
      <c r="F571" s="1">
        <v>0</v>
      </c>
      <c r="G571" s="1">
        <v>0</v>
      </c>
      <c r="H571" s="1">
        <v>0</v>
      </c>
      <c r="I571" s="1">
        <v>0</v>
      </c>
    </row>
    <row r="572" spans="1:9" hidden="1" x14ac:dyDescent="0.2">
      <c r="A572" t="s">
        <v>15</v>
      </c>
      <c r="B572" t="s">
        <v>16</v>
      </c>
      <c r="C572" t="s">
        <v>52</v>
      </c>
      <c r="D572" t="s">
        <v>40</v>
      </c>
      <c r="E572" s="1" t="s">
        <v>42</v>
      </c>
      <c r="F572" s="1">
        <v>0</v>
      </c>
      <c r="G572" s="1">
        <v>0</v>
      </c>
      <c r="H572" s="1">
        <v>0</v>
      </c>
      <c r="I572" s="1">
        <v>0</v>
      </c>
    </row>
    <row r="573" spans="1:9" hidden="1" x14ac:dyDescent="0.2">
      <c r="A573" t="s">
        <v>9</v>
      </c>
      <c r="B573" t="s">
        <v>10</v>
      </c>
      <c r="C573" t="s">
        <v>51</v>
      </c>
      <c r="D573" t="s">
        <v>37</v>
      </c>
      <c r="E573" s="1">
        <v>1010</v>
      </c>
      <c r="F573" s="1">
        <v>1000</v>
      </c>
      <c r="G573" s="1">
        <v>0</v>
      </c>
      <c r="H573" s="1">
        <v>5</v>
      </c>
      <c r="I573" s="1">
        <v>5</v>
      </c>
    </row>
    <row r="574" spans="1:9" hidden="1" x14ac:dyDescent="0.2">
      <c r="A574" t="s">
        <v>9</v>
      </c>
      <c r="B574" t="s">
        <v>10</v>
      </c>
      <c r="C574" t="s">
        <v>69</v>
      </c>
      <c r="D574" t="s">
        <v>37</v>
      </c>
      <c r="E574" s="1">
        <v>1010</v>
      </c>
      <c r="F574" s="1">
        <v>750</v>
      </c>
      <c r="G574" s="1">
        <v>0</v>
      </c>
      <c r="H574" s="1">
        <v>5</v>
      </c>
      <c r="I574" s="1">
        <v>255</v>
      </c>
    </row>
    <row r="575" spans="1:9" hidden="1" x14ac:dyDescent="0.2">
      <c r="A575" t="s">
        <v>15</v>
      </c>
      <c r="B575" t="s">
        <v>16</v>
      </c>
      <c r="C575" t="s">
        <v>57</v>
      </c>
      <c r="D575" t="s">
        <v>36</v>
      </c>
      <c r="E575" s="1" t="s">
        <v>42</v>
      </c>
      <c r="F575" s="1">
        <v>0</v>
      </c>
      <c r="G575" s="1">
        <v>0</v>
      </c>
      <c r="H575" s="1">
        <v>0</v>
      </c>
      <c r="I575" s="1">
        <v>0</v>
      </c>
    </row>
    <row r="576" spans="1:9" hidden="1" x14ac:dyDescent="0.2">
      <c r="A576" t="s">
        <v>15</v>
      </c>
      <c r="B576" t="s">
        <v>16</v>
      </c>
      <c r="C576" t="s">
        <v>57</v>
      </c>
      <c r="D576" t="s">
        <v>35</v>
      </c>
      <c r="E576" s="1" t="s">
        <v>42</v>
      </c>
      <c r="F576" s="1">
        <v>0</v>
      </c>
      <c r="G576" s="1">
        <v>0</v>
      </c>
      <c r="H576" s="1">
        <v>0</v>
      </c>
      <c r="I576" s="1">
        <v>0</v>
      </c>
    </row>
    <row r="577" spans="1:9" hidden="1" x14ac:dyDescent="0.2">
      <c r="A577" t="s">
        <v>9</v>
      </c>
      <c r="B577" t="s">
        <v>10</v>
      </c>
      <c r="C577" t="s">
        <v>61</v>
      </c>
      <c r="D577" t="s">
        <v>37</v>
      </c>
      <c r="E577" s="1">
        <v>1005</v>
      </c>
      <c r="F577" s="1">
        <v>750</v>
      </c>
      <c r="G577" s="1">
        <v>0</v>
      </c>
      <c r="H577" s="1">
        <v>250</v>
      </c>
      <c r="I577" s="1">
        <v>5</v>
      </c>
    </row>
    <row r="578" spans="1:9" hidden="1" x14ac:dyDescent="0.2">
      <c r="A578" t="s">
        <v>9</v>
      </c>
      <c r="B578" t="s">
        <v>10</v>
      </c>
      <c r="C578" t="s">
        <v>65</v>
      </c>
      <c r="D578" t="s">
        <v>43</v>
      </c>
      <c r="E578" s="1">
        <v>1005</v>
      </c>
      <c r="F578" s="1">
        <v>750</v>
      </c>
      <c r="G578" s="1">
        <v>0</v>
      </c>
      <c r="H578" s="1">
        <v>0</v>
      </c>
      <c r="I578" s="1">
        <v>255</v>
      </c>
    </row>
    <row r="579" spans="1:9" hidden="1" x14ac:dyDescent="0.2">
      <c r="A579" t="s">
        <v>15</v>
      </c>
      <c r="B579" t="s">
        <v>16</v>
      </c>
      <c r="C579" t="s">
        <v>61</v>
      </c>
      <c r="D579" t="s">
        <v>36</v>
      </c>
      <c r="E579" s="1" t="s">
        <v>42</v>
      </c>
      <c r="F579" s="1">
        <v>0</v>
      </c>
      <c r="G579" s="1">
        <v>0</v>
      </c>
      <c r="H579" s="1">
        <v>0</v>
      </c>
      <c r="I579" s="1">
        <v>0</v>
      </c>
    </row>
    <row r="580" spans="1:9" hidden="1" x14ac:dyDescent="0.2">
      <c r="A580" t="s">
        <v>15</v>
      </c>
      <c r="B580" t="s">
        <v>16</v>
      </c>
      <c r="C580" t="s">
        <v>61</v>
      </c>
      <c r="D580" t="s">
        <v>35</v>
      </c>
      <c r="E580" s="1" t="s">
        <v>42</v>
      </c>
      <c r="F580" s="1">
        <v>0</v>
      </c>
      <c r="G580" s="1">
        <v>0</v>
      </c>
      <c r="H580" s="1">
        <v>0</v>
      </c>
      <c r="I580" s="1">
        <v>0</v>
      </c>
    </row>
    <row r="581" spans="1:9" hidden="1" x14ac:dyDescent="0.2">
      <c r="A581" t="s">
        <v>15</v>
      </c>
      <c r="B581" t="s">
        <v>16</v>
      </c>
      <c r="C581" t="s">
        <v>61</v>
      </c>
      <c r="D581" t="s">
        <v>37</v>
      </c>
      <c r="E581" s="1" t="s">
        <v>42</v>
      </c>
      <c r="F581" s="1">
        <v>0</v>
      </c>
      <c r="G581" s="1">
        <v>0</v>
      </c>
      <c r="H581" s="1">
        <v>0</v>
      </c>
      <c r="I581" s="1">
        <v>0</v>
      </c>
    </row>
    <row r="582" spans="1:9" hidden="1" x14ac:dyDescent="0.2">
      <c r="A582" t="s">
        <v>9</v>
      </c>
      <c r="B582" t="s">
        <v>10</v>
      </c>
      <c r="C582" t="s">
        <v>65</v>
      </c>
      <c r="D582" t="s">
        <v>36</v>
      </c>
      <c r="E582" s="1">
        <v>765</v>
      </c>
      <c r="F582" s="1">
        <v>755</v>
      </c>
      <c r="G582" s="1">
        <v>0</v>
      </c>
      <c r="H582" s="1">
        <v>5</v>
      </c>
      <c r="I582" s="1">
        <v>5</v>
      </c>
    </row>
    <row r="583" spans="1:9" hidden="1" x14ac:dyDescent="0.2">
      <c r="A583" t="s">
        <v>9</v>
      </c>
      <c r="B583" t="s">
        <v>10</v>
      </c>
      <c r="C583" t="s">
        <v>65</v>
      </c>
      <c r="D583" t="s">
        <v>38</v>
      </c>
      <c r="E583" s="1">
        <v>765</v>
      </c>
      <c r="F583" s="1">
        <v>255</v>
      </c>
      <c r="G583" s="1">
        <v>0</v>
      </c>
      <c r="H583" s="1">
        <v>5</v>
      </c>
      <c r="I583" s="1">
        <v>505</v>
      </c>
    </row>
    <row r="584" spans="1:9" hidden="1" x14ac:dyDescent="0.2">
      <c r="A584" t="s">
        <v>9</v>
      </c>
      <c r="B584" t="s">
        <v>10</v>
      </c>
      <c r="C584" t="s">
        <v>65</v>
      </c>
      <c r="D584" t="s">
        <v>63</v>
      </c>
      <c r="E584" s="1">
        <v>760</v>
      </c>
      <c r="F584" s="1">
        <v>755</v>
      </c>
      <c r="G584" s="1">
        <v>0</v>
      </c>
      <c r="H584" s="1">
        <v>5</v>
      </c>
      <c r="I584" s="1">
        <v>0</v>
      </c>
    </row>
    <row r="585" spans="1:9" hidden="1" x14ac:dyDescent="0.2">
      <c r="A585" t="s">
        <v>9</v>
      </c>
      <c r="B585" t="s">
        <v>10</v>
      </c>
      <c r="C585" t="s">
        <v>67</v>
      </c>
      <c r="D585" t="s">
        <v>36</v>
      </c>
      <c r="E585" s="1">
        <v>760</v>
      </c>
      <c r="F585" s="1">
        <v>755</v>
      </c>
      <c r="G585" s="1">
        <v>0</v>
      </c>
      <c r="H585" s="1">
        <v>0</v>
      </c>
      <c r="I585" s="1">
        <v>5</v>
      </c>
    </row>
    <row r="586" spans="1:9" hidden="1" x14ac:dyDescent="0.2">
      <c r="A586" t="s">
        <v>9</v>
      </c>
      <c r="B586" t="s">
        <v>10</v>
      </c>
      <c r="C586" t="s">
        <v>69</v>
      </c>
      <c r="D586" t="s">
        <v>63</v>
      </c>
      <c r="E586" s="1">
        <v>760</v>
      </c>
      <c r="F586" s="1">
        <v>755</v>
      </c>
      <c r="G586" s="1">
        <v>0</v>
      </c>
      <c r="H586" s="1">
        <v>5</v>
      </c>
      <c r="I586" s="1">
        <v>0</v>
      </c>
    </row>
    <row r="587" spans="1:9" hidden="1" x14ac:dyDescent="0.2">
      <c r="A587" t="s">
        <v>13</v>
      </c>
      <c r="B587" t="s">
        <v>14</v>
      </c>
      <c r="C587" t="s">
        <v>11</v>
      </c>
      <c r="D587" t="s">
        <v>39</v>
      </c>
      <c r="E587" s="1">
        <v>755</v>
      </c>
      <c r="F587" s="1">
        <v>755</v>
      </c>
      <c r="G587" s="1">
        <v>0</v>
      </c>
      <c r="H587" s="1">
        <v>0</v>
      </c>
      <c r="I587" s="1">
        <v>0</v>
      </c>
    </row>
    <row r="588" spans="1:9" hidden="1" x14ac:dyDescent="0.2">
      <c r="A588" t="s">
        <v>15</v>
      </c>
      <c r="B588" t="s">
        <v>16</v>
      </c>
      <c r="C588" t="s">
        <v>61</v>
      </c>
      <c r="D588" t="s">
        <v>40</v>
      </c>
      <c r="E588" s="1" t="s">
        <v>42</v>
      </c>
      <c r="F588" s="1">
        <v>0</v>
      </c>
      <c r="G588" s="1">
        <v>0</v>
      </c>
      <c r="H588" s="1">
        <v>0</v>
      </c>
      <c r="I588" s="1">
        <v>0</v>
      </c>
    </row>
    <row r="589" spans="1:9" hidden="1" x14ac:dyDescent="0.2">
      <c r="A589" t="s">
        <v>13</v>
      </c>
      <c r="B589" t="s">
        <v>14</v>
      </c>
      <c r="C589" t="s">
        <v>46</v>
      </c>
      <c r="D589" t="s">
        <v>39</v>
      </c>
      <c r="E589" s="1">
        <v>755</v>
      </c>
      <c r="F589" s="1">
        <v>755</v>
      </c>
      <c r="G589" s="1">
        <v>0</v>
      </c>
      <c r="H589" s="1">
        <v>0</v>
      </c>
      <c r="I589" s="1">
        <v>0</v>
      </c>
    </row>
    <row r="590" spans="1:9" hidden="1" x14ac:dyDescent="0.2">
      <c r="A590" t="s">
        <v>13</v>
      </c>
      <c r="B590" t="s">
        <v>14</v>
      </c>
      <c r="C590" t="s">
        <v>49</v>
      </c>
      <c r="D590" t="s">
        <v>39</v>
      </c>
      <c r="E590" s="1">
        <v>755</v>
      </c>
      <c r="F590" s="1">
        <v>755</v>
      </c>
      <c r="G590" s="1">
        <v>0</v>
      </c>
      <c r="H590" s="1">
        <v>0</v>
      </c>
      <c r="I590" s="1">
        <v>0</v>
      </c>
    </row>
    <row r="591" spans="1:9" hidden="1" x14ac:dyDescent="0.2">
      <c r="A591" t="s">
        <v>15</v>
      </c>
      <c r="B591" t="s">
        <v>16</v>
      </c>
      <c r="C591" t="s">
        <v>61</v>
      </c>
      <c r="D591" t="s">
        <v>45</v>
      </c>
      <c r="E591" s="1" t="s">
        <v>42</v>
      </c>
      <c r="F591" s="1">
        <v>0</v>
      </c>
      <c r="G591" s="1">
        <v>0</v>
      </c>
      <c r="H591" s="1">
        <v>0</v>
      </c>
      <c r="I591" s="1">
        <v>0</v>
      </c>
    </row>
    <row r="592" spans="1:9" hidden="1" x14ac:dyDescent="0.2">
      <c r="A592" t="s">
        <v>15</v>
      </c>
      <c r="B592" t="s">
        <v>16</v>
      </c>
      <c r="C592" t="s">
        <v>65</v>
      </c>
      <c r="D592" t="s">
        <v>36</v>
      </c>
      <c r="E592" s="1" t="s">
        <v>42</v>
      </c>
      <c r="F592" s="1">
        <v>0</v>
      </c>
      <c r="G592" s="1">
        <v>0</v>
      </c>
      <c r="H592" s="1">
        <v>0</v>
      </c>
      <c r="I592" s="1">
        <v>0</v>
      </c>
    </row>
    <row r="593" spans="1:9" hidden="1" x14ac:dyDescent="0.2">
      <c r="A593" t="s">
        <v>13</v>
      </c>
      <c r="B593" t="s">
        <v>14</v>
      </c>
      <c r="C593" t="s">
        <v>51</v>
      </c>
      <c r="D593" t="s">
        <v>39</v>
      </c>
      <c r="E593" s="1">
        <v>755</v>
      </c>
      <c r="F593" s="1">
        <v>755</v>
      </c>
      <c r="G593" s="1">
        <v>0</v>
      </c>
      <c r="H593" s="1">
        <v>0</v>
      </c>
      <c r="I593" s="1">
        <v>0</v>
      </c>
    </row>
    <row r="594" spans="1:9" hidden="1" x14ac:dyDescent="0.2">
      <c r="A594" t="s">
        <v>15</v>
      </c>
      <c r="B594" t="s">
        <v>16</v>
      </c>
      <c r="C594" t="s">
        <v>65</v>
      </c>
      <c r="D594" t="s">
        <v>63</v>
      </c>
      <c r="E594" s="1" t="s">
        <v>42</v>
      </c>
      <c r="F594" s="1">
        <v>0</v>
      </c>
      <c r="G594" s="1">
        <v>0</v>
      </c>
      <c r="H594" s="1">
        <v>0</v>
      </c>
      <c r="I594" s="1">
        <v>0</v>
      </c>
    </row>
    <row r="595" spans="1:9" hidden="1" x14ac:dyDescent="0.2">
      <c r="A595" t="s">
        <v>9</v>
      </c>
      <c r="B595" t="s">
        <v>10</v>
      </c>
      <c r="C595" t="s">
        <v>61</v>
      </c>
      <c r="D595" t="s">
        <v>43</v>
      </c>
      <c r="E595" s="1">
        <v>755</v>
      </c>
      <c r="F595" s="1">
        <v>750</v>
      </c>
      <c r="G595" s="1">
        <v>0</v>
      </c>
      <c r="H595" s="1">
        <v>0</v>
      </c>
      <c r="I595" s="1">
        <v>5</v>
      </c>
    </row>
    <row r="596" spans="1:9" hidden="1" x14ac:dyDescent="0.2">
      <c r="A596" t="s">
        <v>9</v>
      </c>
      <c r="B596" t="s">
        <v>10</v>
      </c>
      <c r="C596" t="s">
        <v>67</v>
      </c>
      <c r="D596" t="s">
        <v>63</v>
      </c>
      <c r="E596" s="1">
        <v>755</v>
      </c>
      <c r="F596" s="1">
        <v>755</v>
      </c>
      <c r="G596" s="1">
        <v>0</v>
      </c>
      <c r="H596" s="1">
        <v>0</v>
      </c>
      <c r="I596" s="1">
        <v>0</v>
      </c>
    </row>
    <row r="597" spans="1:9" hidden="1" x14ac:dyDescent="0.2">
      <c r="A597" t="s">
        <v>15</v>
      </c>
      <c r="B597" t="s">
        <v>16</v>
      </c>
      <c r="C597" t="s">
        <v>65</v>
      </c>
      <c r="D597" t="s">
        <v>35</v>
      </c>
      <c r="E597" s="1" t="s">
        <v>42</v>
      </c>
      <c r="F597" s="1">
        <v>0</v>
      </c>
      <c r="G597" s="1">
        <v>0</v>
      </c>
      <c r="H597" s="1">
        <v>0</v>
      </c>
      <c r="I597" s="1">
        <v>0</v>
      </c>
    </row>
    <row r="598" spans="1:9" hidden="1" x14ac:dyDescent="0.2">
      <c r="A598" t="s">
        <v>15</v>
      </c>
      <c r="B598" t="s">
        <v>16</v>
      </c>
      <c r="C598" t="s">
        <v>65</v>
      </c>
      <c r="D598" t="s">
        <v>37</v>
      </c>
      <c r="E598" s="1" t="s">
        <v>42</v>
      </c>
      <c r="F598" s="1">
        <v>0</v>
      </c>
      <c r="G598" s="1">
        <v>0</v>
      </c>
      <c r="H598" s="1">
        <v>0</v>
      </c>
      <c r="I598" s="1">
        <v>0</v>
      </c>
    </row>
    <row r="599" spans="1:9" hidden="1" x14ac:dyDescent="0.2">
      <c r="A599" t="s">
        <v>18</v>
      </c>
      <c r="B599" t="s">
        <v>19</v>
      </c>
      <c r="C599" t="s">
        <v>11</v>
      </c>
      <c r="D599" t="s">
        <v>28</v>
      </c>
      <c r="E599" s="1">
        <v>750</v>
      </c>
      <c r="F599" s="1">
        <v>750</v>
      </c>
      <c r="G599" s="1">
        <v>0</v>
      </c>
      <c r="H599" s="1">
        <v>0</v>
      </c>
      <c r="I599" s="1">
        <v>0</v>
      </c>
    </row>
    <row r="600" spans="1:9" hidden="1" x14ac:dyDescent="0.2">
      <c r="A600" t="s">
        <v>15</v>
      </c>
      <c r="B600" t="s">
        <v>16</v>
      </c>
      <c r="C600" t="s">
        <v>65</v>
      </c>
      <c r="D600" t="s">
        <v>40</v>
      </c>
      <c r="E600" s="1" t="s">
        <v>42</v>
      </c>
      <c r="F600" s="1">
        <v>0</v>
      </c>
      <c r="G600" s="1">
        <v>0</v>
      </c>
      <c r="H600" s="1">
        <v>0</v>
      </c>
      <c r="I600" s="1">
        <v>0</v>
      </c>
    </row>
    <row r="601" spans="1:9" hidden="1" x14ac:dyDescent="0.2">
      <c r="A601" t="s">
        <v>15</v>
      </c>
      <c r="B601" t="s">
        <v>16</v>
      </c>
      <c r="C601" t="s">
        <v>67</v>
      </c>
      <c r="D601" t="s">
        <v>36</v>
      </c>
      <c r="E601" s="1" t="s">
        <v>42</v>
      </c>
      <c r="F601" s="1">
        <v>0</v>
      </c>
      <c r="G601" s="1">
        <v>0</v>
      </c>
      <c r="H601" s="1">
        <v>0</v>
      </c>
      <c r="I601" s="1">
        <v>0</v>
      </c>
    </row>
    <row r="602" spans="1:9" hidden="1" x14ac:dyDescent="0.2">
      <c r="A602" t="s">
        <v>18</v>
      </c>
      <c r="B602" t="s">
        <v>19</v>
      </c>
      <c r="C602" t="s">
        <v>46</v>
      </c>
      <c r="D602" t="s">
        <v>28</v>
      </c>
      <c r="E602" s="1">
        <v>750</v>
      </c>
      <c r="F602" s="1">
        <v>750</v>
      </c>
      <c r="G602" s="1">
        <v>0</v>
      </c>
      <c r="H602" s="1">
        <v>0</v>
      </c>
      <c r="I602" s="1">
        <v>0</v>
      </c>
    </row>
    <row r="603" spans="1:9" hidden="1" x14ac:dyDescent="0.2">
      <c r="A603" t="s">
        <v>15</v>
      </c>
      <c r="B603" t="s">
        <v>16</v>
      </c>
      <c r="C603" t="s">
        <v>67</v>
      </c>
      <c r="D603" t="s">
        <v>63</v>
      </c>
      <c r="E603" s="1" t="s">
        <v>42</v>
      </c>
      <c r="F603" s="1">
        <v>0</v>
      </c>
      <c r="G603" s="1">
        <v>0</v>
      </c>
      <c r="H603" s="1">
        <v>0</v>
      </c>
      <c r="I603" s="1">
        <v>0</v>
      </c>
    </row>
    <row r="604" spans="1:9" hidden="1" x14ac:dyDescent="0.2">
      <c r="A604" t="s">
        <v>15</v>
      </c>
      <c r="B604" t="s">
        <v>16</v>
      </c>
      <c r="C604" t="s">
        <v>67</v>
      </c>
      <c r="D604" t="s">
        <v>35</v>
      </c>
      <c r="E604" s="1" t="s">
        <v>42</v>
      </c>
      <c r="F604" s="1">
        <v>0</v>
      </c>
      <c r="G604" s="1">
        <v>0</v>
      </c>
      <c r="H604" s="1">
        <v>0</v>
      </c>
      <c r="I604" s="1">
        <v>0</v>
      </c>
    </row>
    <row r="605" spans="1:9" hidden="1" x14ac:dyDescent="0.2">
      <c r="A605" t="s">
        <v>15</v>
      </c>
      <c r="B605" t="s">
        <v>16</v>
      </c>
      <c r="C605" t="s">
        <v>67</v>
      </c>
      <c r="D605" t="s">
        <v>40</v>
      </c>
      <c r="E605" s="1" t="s">
        <v>42</v>
      </c>
      <c r="F605" s="1">
        <v>0</v>
      </c>
      <c r="G605" s="1">
        <v>0</v>
      </c>
      <c r="H605" s="1">
        <v>0</v>
      </c>
      <c r="I605" s="1">
        <v>0</v>
      </c>
    </row>
    <row r="606" spans="1:9" hidden="1" x14ac:dyDescent="0.2">
      <c r="A606" t="s">
        <v>18</v>
      </c>
      <c r="B606" t="s">
        <v>19</v>
      </c>
      <c r="C606" t="s">
        <v>49</v>
      </c>
      <c r="D606" t="s">
        <v>28</v>
      </c>
      <c r="E606" s="1">
        <v>750</v>
      </c>
      <c r="F606" s="1">
        <v>750</v>
      </c>
      <c r="G606" s="1">
        <v>0</v>
      </c>
      <c r="H606" s="1">
        <v>0</v>
      </c>
      <c r="I606" s="1">
        <v>0</v>
      </c>
    </row>
    <row r="607" spans="1:9" hidden="1" x14ac:dyDescent="0.2">
      <c r="A607" t="s">
        <v>15</v>
      </c>
      <c r="B607" t="s">
        <v>16</v>
      </c>
      <c r="C607" t="s">
        <v>67</v>
      </c>
      <c r="D607" t="s">
        <v>68</v>
      </c>
      <c r="E607" s="1" t="s">
        <v>42</v>
      </c>
      <c r="F607" s="1">
        <v>0</v>
      </c>
      <c r="G607" s="1">
        <v>0</v>
      </c>
      <c r="H607" s="1">
        <v>0</v>
      </c>
      <c r="I607" s="1">
        <v>0</v>
      </c>
    </row>
    <row r="608" spans="1:9" hidden="1" x14ac:dyDescent="0.2">
      <c r="A608" t="s">
        <v>18</v>
      </c>
      <c r="B608" t="s">
        <v>19</v>
      </c>
      <c r="C608" t="s">
        <v>51</v>
      </c>
      <c r="D608" t="s">
        <v>28</v>
      </c>
      <c r="E608" s="1">
        <v>750</v>
      </c>
      <c r="F608" s="1">
        <v>750</v>
      </c>
      <c r="G608" s="1">
        <v>0</v>
      </c>
      <c r="H608" s="1">
        <v>0</v>
      </c>
      <c r="I608" s="1">
        <v>0</v>
      </c>
    </row>
    <row r="609" spans="1:9" hidden="1" x14ac:dyDescent="0.2">
      <c r="A609" t="s">
        <v>15</v>
      </c>
      <c r="B609" t="s">
        <v>16</v>
      </c>
      <c r="C609" t="s">
        <v>67</v>
      </c>
      <c r="D609" t="s">
        <v>24</v>
      </c>
      <c r="E609" s="1" t="s">
        <v>42</v>
      </c>
      <c r="F609" s="1">
        <v>0</v>
      </c>
      <c r="G609" s="1">
        <v>0</v>
      </c>
      <c r="H609" s="1">
        <v>0</v>
      </c>
      <c r="I609" s="1">
        <v>0</v>
      </c>
    </row>
    <row r="610" spans="1:9" hidden="1" x14ac:dyDescent="0.2">
      <c r="A610" t="s">
        <v>15</v>
      </c>
      <c r="B610" t="s">
        <v>16</v>
      </c>
      <c r="C610" t="s">
        <v>69</v>
      </c>
      <c r="D610" t="s">
        <v>36</v>
      </c>
      <c r="E610" s="1" t="s">
        <v>42</v>
      </c>
      <c r="F610" s="1">
        <v>0</v>
      </c>
      <c r="G610" s="1">
        <v>0</v>
      </c>
      <c r="H610" s="1">
        <v>0</v>
      </c>
      <c r="I610" s="1">
        <v>0</v>
      </c>
    </row>
    <row r="611" spans="1:9" hidden="1" x14ac:dyDescent="0.2">
      <c r="A611" t="s">
        <v>15</v>
      </c>
      <c r="B611" t="s">
        <v>16</v>
      </c>
      <c r="C611" t="s">
        <v>69</v>
      </c>
      <c r="D611" t="s">
        <v>63</v>
      </c>
      <c r="E611" s="1" t="s">
        <v>42</v>
      </c>
      <c r="F611" s="1">
        <v>0</v>
      </c>
      <c r="G611" s="1">
        <v>0</v>
      </c>
      <c r="H611" s="1">
        <v>0</v>
      </c>
      <c r="I611" s="1">
        <v>0</v>
      </c>
    </row>
    <row r="612" spans="1:9" hidden="1" x14ac:dyDescent="0.2">
      <c r="A612" t="s">
        <v>13</v>
      </c>
      <c r="B612" t="s">
        <v>14</v>
      </c>
      <c r="C612" t="s">
        <v>52</v>
      </c>
      <c r="D612" t="s">
        <v>39</v>
      </c>
      <c r="E612" s="1">
        <v>750</v>
      </c>
      <c r="F612" s="1">
        <v>750</v>
      </c>
      <c r="G612" s="1">
        <v>0</v>
      </c>
      <c r="H612" s="1">
        <v>0</v>
      </c>
      <c r="I612" s="1">
        <v>0</v>
      </c>
    </row>
    <row r="613" spans="1:9" hidden="1" x14ac:dyDescent="0.2">
      <c r="A613" t="s">
        <v>15</v>
      </c>
      <c r="B613" t="s">
        <v>16</v>
      </c>
      <c r="C613" t="s">
        <v>69</v>
      </c>
      <c r="D613" t="s">
        <v>35</v>
      </c>
      <c r="E613" s="1" t="s">
        <v>42</v>
      </c>
      <c r="F613" s="1">
        <v>0</v>
      </c>
      <c r="G613" s="1">
        <v>0</v>
      </c>
      <c r="H613" s="1">
        <v>0</v>
      </c>
      <c r="I613" s="1">
        <v>0</v>
      </c>
    </row>
    <row r="614" spans="1:9" hidden="1" x14ac:dyDescent="0.2">
      <c r="A614" t="s">
        <v>13</v>
      </c>
      <c r="B614" t="s">
        <v>14</v>
      </c>
      <c r="C614" t="s">
        <v>57</v>
      </c>
      <c r="D614" t="s">
        <v>39</v>
      </c>
      <c r="E614" s="1">
        <v>750</v>
      </c>
      <c r="F614" s="1">
        <v>750</v>
      </c>
      <c r="G614" s="1">
        <v>0</v>
      </c>
      <c r="H614" s="1">
        <v>0</v>
      </c>
      <c r="I614" s="1">
        <v>0</v>
      </c>
    </row>
    <row r="615" spans="1:9" hidden="1" x14ac:dyDescent="0.2">
      <c r="A615" t="s">
        <v>13</v>
      </c>
      <c r="B615" t="s">
        <v>14</v>
      </c>
      <c r="C615" t="s">
        <v>61</v>
      </c>
      <c r="D615" t="s">
        <v>39</v>
      </c>
      <c r="E615" s="1">
        <v>750</v>
      </c>
      <c r="F615" s="1">
        <v>750</v>
      </c>
      <c r="G615" s="1">
        <v>0</v>
      </c>
      <c r="H615" s="1">
        <v>0</v>
      </c>
      <c r="I615" s="1">
        <v>0</v>
      </c>
    </row>
    <row r="616" spans="1:9" hidden="1" x14ac:dyDescent="0.2">
      <c r="A616" t="s">
        <v>13</v>
      </c>
      <c r="B616" t="s">
        <v>14</v>
      </c>
      <c r="C616" t="s">
        <v>65</v>
      </c>
      <c r="D616" t="s">
        <v>39</v>
      </c>
      <c r="E616" s="1">
        <v>750</v>
      </c>
      <c r="F616" s="1">
        <v>750</v>
      </c>
      <c r="G616" s="1">
        <v>0</v>
      </c>
      <c r="H616" s="1">
        <v>0</v>
      </c>
      <c r="I616" s="1">
        <v>0</v>
      </c>
    </row>
    <row r="617" spans="1:9" hidden="1" x14ac:dyDescent="0.2">
      <c r="A617" t="s">
        <v>13</v>
      </c>
      <c r="B617" t="s">
        <v>14</v>
      </c>
      <c r="C617" t="s">
        <v>67</v>
      </c>
      <c r="D617" t="s">
        <v>39</v>
      </c>
      <c r="E617" s="1">
        <v>750</v>
      </c>
      <c r="F617" s="1">
        <v>750</v>
      </c>
      <c r="G617" s="1">
        <v>0</v>
      </c>
      <c r="H617" s="1">
        <v>0</v>
      </c>
      <c r="I617" s="1">
        <v>0</v>
      </c>
    </row>
    <row r="618" spans="1:9" hidden="1" x14ac:dyDescent="0.2">
      <c r="A618" t="s">
        <v>9</v>
      </c>
      <c r="B618" t="s">
        <v>10</v>
      </c>
      <c r="C618" t="s">
        <v>69</v>
      </c>
      <c r="D618" t="s">
        <v>40</v>
      </c>
      <c r="E618" s="1">
        <v>750</v>
      </c>
      <c r="F618" s="1">
        <v>0</v>
      </c>
      <c r="G618" s="1">
        <v>0</v>
      </c>
      <c r="H618" s="1">
        <v>750</v>
      </c>
      <c r="I618" s="1">
        <v>0</v>
      </c>
    </row>
    <row r="619" spans="1:9" hidden="1" x14ac:dyDescent="0.2">
      <c r="A619" t="s">
        <v>13</v>
      </c>
      <c r="B619" t="s">
        <v>14</v>
      </c>
      <c r="C619" t="s">
        <v>69</v>
      </c>
      <c r="D619" t="s">
        <v>39</v>
      </c>
      <c r="E619" s="1">
        <v>750</v>
      </c>
      <c r="F619" s="1">
        <v>750</v>
      </c>
      <c r="G619" s="1">
        <v>0</v>
      </c>
      <c r="H619" s="1">
        <v>0</v>
      </c>
      <c r="I619" s="1">
        <v>0</v>
      </c>
    </row>
    <row r="620" spans="1:9" hidden="1" x14ac:dyDescent="0.2">
      <c r="A620" t="s">
        <v>9</v>
      </c>
      <c r="B620" t="s">
        <v>10</v>
      </c>
      <c r="C620" t="s">
        <v>57</v>
      </c>
      <c r="D620" t="s">
        <v>60</v>
      </c>
      <c r="E620" s="1">
        <v>615.79999999999995</v>
      </c>
      <c r="F620" s="1">
        <v>81.8</v>
      </c>
      <c r="G620" s="1">
        <v>0</v>
      </c>
      <c r="H620" s="1">
        <v>534</v>
      </c>
      <c r="I620" s="1">
        <v>0</v>
      </c>
    </row>
    <row r="621" spans="1:9" hidden="1" x14ac:dyDescent="0.2">
      <c r="A621" t="s">
        <v>9</v>
      </c>
      <c r="B621" t="s">
        <v>10</v>
      </c>
      <c r="C621" t="s">
        <v>65</v>
      </c>
      <c r="D621" t="s">
        <v>60</v>
      </c>
      <c r="E621" s="1">
        <v>551</v>
      </c>
      <c r="F621" s="1">
        <v>75</v>
      </c>
      <c r="G621" s="1">
        <v>0</v>
      </c>
      <c r="H621" s="1">
        <v>476</v>
      </c>
      <c r="I621" s="1">
        <v>0</v>
      </c>
    </row>
    <row r="622" spans="1:9" hidden="1" x14ac:dyDescent="0.2">
      <c r="A622" t="s">
        <v>9</v>
      </c>
      <c r="B622" t="s">
        <v>10</v>
      </c>
      <c r="C622" t="s">
        <v>69</v>
      </c>
      <c r="D622" t="s">
        <v>38</v>
      </c>
      <c r="E622" s="1">
        <v>515</v>
      </c>
      <c r="F622" s="1">
        <v>255</v>
      </c>
      <c r="G622" s="1">
        <v>0</v>
      </c>
      <c r="H622" s="1">
        <v>5</v>
      </c>
      <c r="I622" s="1">
        <v>255</v>
      </c>
    </row>
    <row r="623" spans="1:9" hidden="1" x14ac:dyDescent="0.2">
      <c r="A623" t="s">
        <v>9</v>
      </c>
      <c r="B623" t="s">
        <v>10</v>
      </c>
      <c r="C623" t="s">
        <v>61</v>
      </c>
      <c r="D623" t="s">
        <v>38</v>
      </c>
      <c r="E623" s="1">
        <v>505</v>
      </c>
      <c r="F623" s="1">
        <v>255</v>
      </c>
      <c r="G623" s="1">
        <v>0</v>
      </c>
      <c r="H623" s="1">
        <v>0</v>
      </c>
      <c r="I623" s="1">
        <v>250</v>
      </c>
    </row>
    <row r="624" spans="1:9" hidden="1" x14ac:dyDescent="0.2">
      <c r="A624" t="s">
        <v>9</v>
      </c>
      <c r="B624" t="s">
        <v>10</v>
      </c>
      <c r="C624" t="s">
        <v>65</v>
      </c>
      <c r="D624" t="s">
        <v>64</v>
      </c>
      <c r="E624" s="1">
        <v>505</v>
      </c>
      <c r="F624" s="1">
        <v>500</v>
      </c>
      <c r="G624" s="1">
        <v>0</v>
      </c>
      <c r="H624" s="1">
        <v>5</v>
      </c>
      <c r="I624" s="1">
        <v>0</v>
      </c>
    </row>
    <row r="625" spans="1:9" hidden="1" x14ac:dyDescent="0.2">
      <c r="A625" t="s">
        <v>9</v>
      </c>
      <c r="B625" t="s">
        <v>10</v>
      </c>
      <c r="C625" t="s">
        <v>67</v>
      </c>
      <c r="D625" t="s">
        <v>38</v>
      </c>
      <c r="E625" s="1">
        <v>505</v>
      </c>
      <c r="F625" s="1">
        <v>255</v>
      </c>
      <c r="G625" s="1">
        <v>0</v>
      </c>
      <c r="H625" s="1">
        <v>0</v>
      </c>
      <c r="I625" s="1">
        <v>250</v>
      </c>
    </row>
    <row r="626" spans="1:9" hidden="1" x14ac:dyDescent="0.2">
      <c r="A626" t="s">
        <v>9</v>
      </c>
      <c r="B626" t="s">
        <v>10</v>
      </c>
      <c r="C626" t="s">
        <v>69</v>
      </c>
      <c r="D626" t="s">
        <v>64</v>
      </c>
      <c r="E626" s="1">
        <v>505</v>
      </c>
      <c r="F626" s="1">
        <v>500</v>
      </c>
      <c r="G626" s="1">
        <v>0</v>
      </c>
      <c r="H626" s="1">
        <v>5</v>
      </c>
      <c r="I626" s="1">
        <v>0</v>
      </c>
    </row>
    <row r="627" spans="1:9" hidden="1" x14ac:dyDescent="0.2">
      <c r="A627" t="s">
        <v>9</v>
      </c>
      <c r="B627" t="s">
        <v>10</v>
      </c>
      <c r="C627" t="s">
        <v>67</v>
      </c>
      <c r="D627" t="s">
        <v>64</v>
      </c>
      <c r="E627" s="1">
        <v>500</v>
      </c>
      <c r="F627" s="1">
        <v>500</v>
      </c>
      <c r="G627" s="1">
        <v>0</v>
      </c>
      <c r="H627" s="1">
        <v>0</v>
      </c>
      <c r="I627" s="1">
        <v>0</v>
      </c>
    </row>
    <row r="628" spans="1:9" hidden="1" x14ac:dyDescent="0.2">
      <c r="A628" t="s">
        <v>9</v>
      </c>
      <c r="B628" t="s">
        <v>10</v>
      </c>
      <c r="C628" t="s">
        <v>67</v>
      </c>
      <c r="D628" t="s">
        <v>60</v>
      </c>
      <c r="E628" s="1">
        <v>269.5</v>
      </c>
      <c r="F628" s="1">
        <v>75.5</v>
      </c>
      <c r="G628" s="1">
        <v>0</v>
      </c>
      <c r="H628" s="1">
        <v>194</v>
      </c>
      <c r="I628" s="1">
        <v>0</v>
      </c>
    </row>
    <row r="629" spans="1:9" hidden="1" x14ac:dyDescent="0.2">
      <c r="A629" t="s">
        <v>9</v>
      </c>
      <c r="B629" t="s">
        <v>10</v>
      </c>
      <c r="C629" t="s">
        <v>69</v>
      </c>
      <c r="D629" t="s">
        <v>36</v>
      </c>
      <c r="E629" s="1">
        <v>260</v>
      </c>
      <c r="F629" s="1">
        <v>255</v>
      </c>
      <c r="G629" s="1">
        <v>0</v>
      </c>
      <c r="H629" s="1">
        <v>5</v>
      </c>
      <c r="I629" s="1">
        <v>0</v>
      </c>
    </row>
    <row r="630" spans="1:9" hidden="1" x14ac:dyDescent="0.2">
      <c r="A630" t="s">
        <v>9</v>
      </c>
      <c r="B630" t="s">
        <v>10</v>
      </c>
      <c r="C630" t="s">
        <v>11</v>
      </c>
      <c r="D630" t="s">
        <v>40</v>
      </c>
      <c r="E630" s="1">
        <v>250</v>
      </c>
      <c r="F630" s="1">
        <v>0</v>
      </c>
      <c r="G630" s="1">
        <v>0</v>
      </c>
      <c r="H630" s="1">
        <v>250</v>
      </c>
      <c r="I630" s="1">
        <v>0</v>
      </c>
    </row>
    <row r="631" spans="1:9" hidden="1" x14ac:dyDescent="0.2">
      <c r="A631" t="s">
        <v>9</v>
      </c>
      <c r="B631" t="s">
        <v>10</v>
      </c>
      <c r="C631" t="s">
        <v>46</v>
      </c>
      <c r="D631" t="s">
        <v>40</v>
      </c>
      <c r="E631" s="1">
        <v>250</v>
      </c>
      <c r="F631" s="1">
        <v>0</v>
      </c>
      <c r="G631" s="1">
        <v>0</v>
      </c>
      <c r="H631" s="1">
        <v>250</v>
      </c>
      <c r="I631" s="1">
        <v>0</v>
      </c>
    </row>
    <row r="632" spans="1:9" hidden="1" x14ac:dyDescent="0.2">
      <c r="A632" t="s">
        <v>9</v>
      </c>
      <c r="B632" t="s">
        <v>10</v>
      </c>
      <c r="C632" t="s">
        <v>49</v>
      </c>
      <c r="D632" t="s">
        <v>40</v>
      </c>
      <c r="E632" s="1">
        <v>250</v>
      </c>
      <c r="F632" s="1">
        <v>0</v>
      </c>
      <c r="G632" s="1">
        <v>0</v>
      </c>
      <c r="H632" s="1">
        <v>250</v>
      </c>
      <c r="I632" s="1">
        <v>0</v>
      </c>
    </row>
    <row r="633" spans="1:9" hidden="1" x14ac:dyDescent="0.2">
      <c r="A633" t="s">
        <v>13</v>
      </c>
      <c r="B633" t="s">
        <v>14</v>
      </c>
      <c r="C633" t="s">
        <v>49</v>
      </c>
      <c r="D633" t="s">
        <v>29</v>
      </c>
      <c r="E633" s="1">
        <v>250</v>
      </c>
      <c r="F633" s="1">
        <v>250</v>
      </c>
      <c r="G633" s="1">
        <v>0</v>
      </c>
      <c r="H633" s="1">
        <v>0</v>
      </c>
      <c r="I633" s="1">
        <v>0</v>
      </c>
    </row>
    <row r="634" spans="1:9" hidden="1" x14ac:dyDescent="0.2">
      <c r="A634" t="s">
        <v>9</v>
      </c>
      <c r="B634" t="s">
        <v>10</v>
      </c>
      <c r="C634" t="s">
        <v>51</v>
      </c>
      <c r="D634" t="s">
        <v>40</v>
      </c>
      <c r="E634" s="1">
        <v>250</v>
      </c>
      <c r="F634" s="1">
        <v>0</v>
      </c>
      <c r="G634" s="1">
        <v>0</v>
      </c>
      <c r="H634" s="1">
        <v>250</v>
      </c>
      <c r="I634" s="1">
        <v>0</v>
      </c>
    </row>
    <row r="635" spans="1:9" hidden="1" x14ac:dyDescent="0.2">
      <c r="A635" t="s">
        <v>9</v>
      </c>
      <c r="B635" t="s">
        <v>10</v>
      </c>
      <c r="C635" t="s">
        <v>52</v>
      </c>
      <c r="D635" t="s">
        <v>40</v>
      </c>
      <c r="E635" s="1">
        <v>250</v>
      </c>
      <c r="F635" s="1">
        <v>0</v>
      </c>
      <c r="G635" s="1">
        <v>0</v>
      </c>
      <c r="H635" s="1">
        <v>250</v>
      </c>
      <c r="I635" s="1">
        <v>0</v>
      </c>
    </row>
    <row r="636" spans="1:9" hidden="1" x14ac:dyDescent="0.2">
      <c r="A636" t="s">
        <v>9</v>
      </c>
      <c r="B636" t="s">
        <v>10</v>
      </c>
      <c r="C636" t="s">
        <v>57</v>
      </c>
      <c r="D636" t="s">
        <v>40</v>
      </c>
      <c r="E636" s="1">
        <v>250</v>
      </c>
      <c r="F636" s="1">
        <v>0</v>
      </c>
      <c r="G636" s="1">
        <v>0</v>
      </c>
      <c r="H636" s="1">
        <v>250</v>
      </c>
      <c r="I636" s="1">
        <v>0</v>
      </c>
    </row>
    <row r="637" spans="1:9" hidden="1" x14ac:dyDescent="0.2">
      <c r="A637" t="s">
        <v>15</v>
      </c>
      <c r="B637" t="s">
        <v>16</v>
      </c>
      <c r="C637" t="s">
        <v>69</v>
      </c>
      <c r="D637" t="s">
        <v>37</v>
      </c>
      <c r="E637" s="1" t="s">
        <v>42</v>
      </c>
      <c r="F637" s="1">
        <v>0</v>
      </c>
      <c r="G637" s="1">
        <v>0</v>
      </c>
      <c r="H637" s="1">
        <v>0</v>
      </c>
      <c r="I637" s="1">
        <v>0</v>
      </c>
    </row>
    <row r="638" spans="1:9" hidden="1" x14ac:dyDescent="0.2">
      <c r="A638" t="s">
        <v>9</v>
      </c>
      <c r="B638" t="s">
        <v>10</v>
      </c>
      <c r="C638" t="s">
        <v>61</v>
      </c>
      <c r="D638" t="s">
        <v>40</v>
      </c>
      <c r="E638" s="1">
        <v>250</v>
      </c>
      <c r="F638" s="1">
        <v>0</v>
      </c>
      <c r="G638" s="1">
        <v>0</v>
      </c>
      <c r="H638" s="1">
        <v>250</v>
      </c>
      <c r="I638" s="1">
        <v>0</v>
      </c>
    </row>
    <row r="639" spans="1:9" hidden="1" x14ac:dyDescent="0.2">
      <c r="A639" t="s">
        <v>9</v>
      </c>
      <c r="B639" t="s">
        <v>10</v>
      </c>
      <c r="C639" t="s">
        <v>65</v>
      </c>
      <c r="D639" t="s">
        <v>40</v>
      </c>
      <c r="E639" s="1">
        <v>250</v>
      </c>
      <c r="F639" s="1">
        <v>0</v>
      </c>
      <c r="G639" s="1">
        <v>0</v>
      </c>
      <c r="H639" s="1">
        <v>250</v>
      </c>
      <c r="I639" s="1">
        <v>0</v>
      </c>
    </row>
    <row r="640" spans="1:9" hidden="1" x14ac:dyDescent="0.2">
      <c r="A640" t="s">
        <v>9</v>
      </c>
      <c r="B640" t="s">
        <v>10</v>
      </c>
      <c r="C640" t="s">
        <v>67</v>
      </c>
      <c r="D640" t="s">
        <v>40</v>
      </c>
      <c r="E640" s="1">
        <v>250</v>
      </c>
      <c r="F640" s="1">
        <v>0</v>
      </c>
      <c r="G640" s="1">
        <v>0</v>
      </c>
      <c r="H640" s="1">
        <v>250</v>
      </c>
      <c r="I640" s="1">
        <v>0</v>
      </c>
    </row>
    <row r="641" spans="1:9" hidden="1" x14ac:dyDescent="0.2">
      <c r="A641" t="s">
        <v>9</v>
      </c>
      <c r="B641" t="s">
        <v>10</v>
      </c>
      <c r="C641" t="s">
        <v>69</v>
      </c>
      <c r="D641" t="s">
        <v>60</v>
      </c>
      <c r="E641" s="1">
        <v>233</v>
      </c>
      <c r="F641" s="1">
        <v>72</v>
      </c>
      <c r="G641" s="1">
        <v>0</v>
      </c>
      <c r="H641" s="1">
        <v>161</v>
      </c>
      <c r="I641" s="1">
        <v>0</v>
      </c>
    </row>
    <row r="642" spans="1:9" hidden="1" x14ac:dyDescent="0.2">
      <c r="A642" t="s">
        <v>9</v>
      </c>
      <c r="B642" t="s">
        <v>10</v>
      </c>
      <c r="C642" t="s">
        <v>61</v>
      </c>
      <c r="D642" t="s">
        <v>60</v>
      </c>
      <c r="E642" s="1">
        <v>88.7</v>
      </c>
      <c r="F642" s="1">
        <v>77.400000000000006</v>
      </c>
      <c r="G642" s="1">
        <v>0</v>
      </c>
      <c r="H642" s="1">
        <v>11.3</v>
      </c>
      <c r="I642" s="1">
        <v>0</v>
      </c>
    </row>
    <row r="643" spans="1:9" hidden="1" x14ac:dyDescent="0.2">
      <c r="A643" t="s">
        <v>15</v>
      </c>
      <c r="B643" t="s">
        <v>16</v>
      </c>
      <c r="C643" t="s">
        <v>69</v>
      </c>
      <c r="D643" t="s">
        <v>40</v>
      </c>
      <c r="E643" s="1" t="s">
        <v>42</v>
      </c>
      <c r="F643" s="1">
        <v>0</v>
      </c>
      <c r="G643" s="1">
        <v>0</v>
      </c>
      <c r="H643" s="1">
        <v>0</v>
      </c>
      <c r="I643" s="1">
        <v>0</v>
      </c>
    </row>
    <row r="644" spans="1:9" hidden="1" x14ac:dyDescent="0.2">
      <c r="A644" t="s">
        <v>9</v>
      </c>
      <c r="B644" t="s">
        <v>10</v>
      </c>
      <c r="C644" t="s">
        <v>57</v>
      </c>
      <c r="D644" t="s">
        <v>41</v>
      </c>
      <c r="E644" s="1">
        <v>8.54658E-4</v>
      </c>
      <c r="F644" s="1">
        <v>8.54658E-4</v>
      </c>
      <c r="G644" s="1">
        <v>0</v>
      </c>
      <c r="H644" s="1">
        <v>0</v>
      </c>
      <c r="I644" s="1">
        <v>0</v>
      </c>
    </row>
    <row r="645" spans="1:9" hidden="1" x14ac:dyDescent="0.2">
      <c r="A645" t="s">
        <v>9</v>
      </c>
      <c r="B645" t="s">
        <v>10</v>
      </c>
      <c r="C645" t="s">
        <v>61</v>
      </c>
      <c r="D645" t="s">
        <v>41</v>
      </c>
      <c r="E645" s="1">
        <v>8.1342450000000005E-4</v>
      </c>
      <c r="F645" s="1">
        <v>8.1342450000000005E-4</v>
      </c>
      <c r="G645" s="1">
        <v>0</v>
      </c>
      <c r="H645" s="1">
        <v>0</v>
      </c>
      <c r="I645" s="1">
        <v>0</v>
      </c>
    </row>
    <row r="646" spans="1:9" hidden="1" x14ac:dyDescent="0.2">
      <c r="A646" t="s">
        <v>9</v>
      </c>
      <c r="B646" t="s">
        <v>10</v>
      </c>
      <c r="C646" t="s">
        <v>67</v>
      </c>
      <c r="D646" t="s">
        <v>41</v>
      </c>
      <c r="E646" s="1">
        <v>8.0041499999999996E-4</v>
      </c>
      <c r="F646" s="1">
        <v>8.0041499999999996E-4</v>
      </c>
      <c r="G646" s="1">
        <v>0</v>
      </c>
      <c r="H646" s="1">
        <v>0</v>
      </c>
      <c r="I646" s="1">
        <v>0</v>
      </c>
    </row>
    <row r="647" spans="1:9" hidden="1" x14ac:dyDescent="0.2">
      <c r="A647" t="s">
        <v>9</v>
      </c>
      <c r="B647" t="s">
        <v>10</v>
      </c>
      <c r="C647" t="s">
        <v>11</v>
      </c>
      <c r="D647" t="s">
        <v>41</v>
      </c>
      <c r="E647" s="1">
        <v>7.9490249999999995E-4</v>
      </c>
      <c r="F647" s="1">
        <v>7.9490249999999995E-4</v>
      </c>
      <c r="G647" s="1">
        <v>0</v>
      </c>
      <c r="H647" s="1">
        <v>0</v>
      </c>
      <c r="I647" s="1">
        <v>0</v>
      </c>
    </row>
    <row r="648" spans="1:9" hidden="1" x14ac:dyDescent="0.2">
      <c r="A648" t="s">
        <v>9</v>
      </c>
      <c r="B648" t="s">
        <v>10</v>
      </c>
      <c r="C648" t="s">
        <v>65</v>
      </c>
      <c r="D648" t="s">
        <v>41</v>
      </c>
      <c r="E648" s="1">
        <v>7.8938999999999995E-4</v>
      </c>
      <c r="F648" s="1">
        <v>7.8938999999999995E-4</v>
      </c>
      <c r="G648" s="1">
        <v>0</v>
      </c>
      <c r="H648" s="1">
        <v>0</v>
      </c>
      <c r="I648" s="1">
        <v>0</v>
      </c>
    </row>
    <row r="649" spans="1:9" hidden="1" x14ac:dyDescent="0.2">
      <c r="A649" t="s">
        <v>9</v>
      </c>
      <c r="B649" t="s">
        <v>10</v>
      </c>
      <c r="C649" t="s">
        <v>46</v>
      </c>
      <c r="D649" t="s">
        <v>41</v>
      </c>
      <c r="E649" s="1">
        <v>7.6910399999999995E-4</v>
      </c>
      <c r="F649" s="1">
        <v>7.6910399999999995E-4</v>
      </c>
      <c r="G649" s="1">
        <v>0</v>
      </c>
      <c r="H649" s="1">
        <v>0</v>
      </c>
      <c r="I649" s="1">
        <v>0</v>
      </c>
    </row>
    <row r="650" spans="1:9" hidden="1" x14ac:dyDescent="0.2">
      <c r="A650" t="s">
        <v>9</v>
      </c>
      <c r="B650" t="s">
        <v>10</v>
      </c>
      <c r="C650" t="s">
        <v>52</v>
      </c>
      <c r="D650" t="s">
        <v>41</v>
      </c>
      <c r="E650" s="1">
        <v>7.6778100000000004E-4</v>
      </c>
      <c r="F650" s="1">
        <v>7.6778100000000004E-4</v>
      </c>
      <c r="G650" s="1">
        <v>0</v>
      </c>
      <c r="H650" s="1">
        <v>0</v>
      </c>
      <c r="I650" s="1">
        <v>0</v>
      </c>
    </row>
    <row r="651" spans="1:9" hidden="1" x14ac:dyDescent="0.2">
      <c r="A651" t="s">
        <v>9</v>
      </c>
      <c r="B651" t="s">
        <v>10</v>
      </c>
      <c r="C651" t="s">
        <v>69</v>
      </c>
      <c r="D651" t="s">
        <v>41</v>
      </c>
      <c r="E651" s="1">
        <v>7.6204799999999998E-4</v>
      </c>
      <c r="F651" s="1">
        <v>7.6204799999999998E-4</v>
      </c>
      <c r="G651" s="1">
        <v>0</v>
      </c>
      <c r="H651" s="1">
        <v>0</v>
      </c>
      <c r="I651" s="1">
        <v>0</v>
      </c>
    </row>
    <row r="652" spans="1:9" hidden="1" x14ac:dyDescent="0.2">
      <c r="A652" t="s">
        <v>9</v>
      </c>
      <c r="B652" t="s">
        <v>10</v>
      </c>
      <c r="C652" t="s">
        <v>51</v>
      </c>
      <c r="D652" t="s">
        <v>41</v>
      </c>
      <c r="E652" s="1">
        <v>6.7333158900000003E-4</v>
      </c>
      <c r="F652" s="1">
        <v>6.7333158900000003E-4</v>
      </c>
      <c r="G652" s="1">
        <v>0</v>
      </c>
      <c r="H652" s="1">
        <v>0</v>
      </c>
      <c r="I652" s="1">
        <v>0</v>
      </c>
    </row>
    <row r="653" spans="1:9" hidden="1" x14ac:dyDescent="0.2">
      <c r="A653" t="s">
        <v>9</v>
      </c>
      <c r="B653" t="s">
        <v>10</v>
      </c>
      <c r="C653" t="s">
        <v>49</v>
      </c>
      <c r="D653" t="s">
        <v>41</v>
      </c>
      <c r="E653" s="1">
        <v>6.2873061300000002E-4</v>
      </c>
      <c r="F653" s="1">
        <v>6.2873061300000002E-4</v>
      </c>
      <c r="G653" s="1">
        <v>0</v>
      </c>
      <c r="H653" s="1">
        <v>0</v>
      </c>
      <c r="I653" s="1">
        <v>0</v>
      </c>
    </row>
    <row r="654" spans="1:9" hidden="1" x14ac:dyDescent="0.2">
      <c r="A654" t="s">
        <v>18</v>
      </c>
      <c r="B654" t="s">
        <v>19</v>
      </c>
      <c r="C654" t="s">
        <v>69</v>
      </c>
      <c r="D654" t="s">
        <v>41</v>
      </c>
      <c r="E654" s="1">
        <v>3.069359999999999E-4</v>
      </c>
      <c r="F654" s="1">
        <v>3.069359999999999E-4</v>
      </c>
      <c r="G654" s="1">
        <v>0</v>
      </c>
      <c r="H654" s="1">
        <v>0</v>
      </c>
      <c r="I654" s="1">
        <v>0</v>
      </c>
    </row>
    <row r="655" spans="1:9" hidden="1" x14ac:dyDescent="0.2">
      <c r="A655" t="s">
        <v>18</v>
      </c>
      <c r="B655" t="s">
        <v>19</v>
      </c>
      <c r="C655" t="s">
        <v>67</v>
      </c>
      <c r="D655" t="s">
        <v>41</v>
      </c>
      <c r="E655" s="1">
        <v>2.5908749999999998E-4</v>
      </c>
      <c r="F655" s="1">
        <v>2.5908749999999998E-4</v>
      </c>
      <c r="G655" s="1">
        <v>0</v>
      </c>
      <c r="H655" s="1">
        <v>0</v>
      </c>
      <c r="I655" s="1">
        <v>0</v>
      </c>
    </row>
    <row r="656" spans="1:9" hidden="1" x14ac:dyDescent="0.2">
      <c r="A656" t="s">
        <v>15</v>
      </c>
      <c r="B656" t="s">
        <v>16</v>
      </c>
      <c r="C656" t="s">
        <v>69</v>
      </c>
      <c r="D656" t="s">
        <v>68</v>
      </c>
      <c r="E656" s="1" t="s">
        <v>42</v>
      </c>
      <c r="F656" s="1">
        <v>0</v>
      </c>
      <c r="G656" s="1">
        <v>0</v>
      </c>
      <c r="H656" s="1">
        <v>0</v>
      </c>
      <c r="I656" s="1">
        <v>0</v>
      </c>
    </row>
    <row r="657" spans="1:9" hidden="1" x14ac:dyDescent="0.2">
      <c r="A657" t="s">
        <v>18</v>
      </c>
      <c r="B657" t="s">
        <v>19</v>
      </c>
      <c r="C657" t="s">
        <v>65</v>
      </c>
      <c r="D657" t="s">
        <v>41</v>
      </c>
      <c r="E657" s="1">
        <v>2.3240700000000001E-4</v>
      </c>
      <c r="F657" s="1">
        <v>2.3240700000000001E-4</v>
      </c>
      <c r="G657" s="1">
        <v>0</v>
      </c>
      <c r="H657" s="1">
        <v>0</v>
      </c>
      <c r="I657" s="1">
        <v>0</v>
      </c>
    </row>
    <row r="658" spans="1:9" hidden="1" x14ac:dyDescent="0.2">
      <c r="A658" t="s">
        <v>15</v>
      </c>
      <c r="B658" t="s">
        <v>16</v>
      </c>
      <c r="C658" t="s">
        <v>69</v>
      </c>
      <c r="D658" t="s">
        <v>24</v>
      </c>
      <c r="E658" s="1" t="s">
        <v>42</v>
      </c>
      <c r="F658" s="1">
        <v>0</v>
      </c>
      <c r="G658" s="1">
        <v>0</v>
      </c>
      <c r="H658" s="1">
        <v>0</v>
      </c>
      <c r="I658" s="1">
        <v>0</v>
      </c>
    </row>
  </sheetData>
  <autoFilter ref="A1:I658" xr:uid="{00000000-0001-0000-0000-000000000000}">
    <filterColumn colId="0">
      <filters>
        <filter val="FREEPORT-MCMORAN BAGDAD INC"/>
      </filters>
    </filterColumn>
    <filterColumn colId="2">
      <filters>
        <filter val="2019"/>
        <filter val="2020"/>
        <filter val="2021"/>
        <filter val="2022"/>
        <filter val="2023"/>
      </filters>
    </filterColumn>
    <filterColumn colId="3">
      <filters>
        <filter val="Chromium compounds (N090)"/>
        <filter val="Copper compounds (N100)"/>
        <filter val="Lead compounds (N420)"/>
      </filters>
    </filterColumn>
    <sortState xmlns:xlrd2="http://schemas.microsoft.com/office/spreadsheetml/2017/richdata2" ref="A349:I538">
      <sortCondition ref="C1:C6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FB22-198E-DC45-BDDE-9EAE3ABEE844}">
  <dimension ref="A1:K41"/>
  <sheetViews>
    <sheetView workbookViewId="0">
      <selection activeCell="E16" sqref="E16"/>
    </sheetView>
  </sheetViews>
  <sheetFormatPr baseColWidth="10" defaultRowHeight="15" x14ac:dyDescent="0.2"/>
  <cols>
    <col min="1" max="1" width="28.5" bestFit="1" customWidth="1"/>
  </cols>
  <sheetData>
    <row r="1" spans="1:11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11" x14ac:dyDescent="0.2">
      <c r="A2" t="s">
        <v>15</v>
      </c>
      <c r="B2">
        <v>2021</v>
      </c>
      <c r="C2" t="s">
        <v>12</v>
      </c>
      <c r="D2">
        <v>3906881.8</v>
      </c>
      <c r="E2">
        <v>242</v>
      </c>
      <c r="F2">
        <v>0.3</v>
      </c>
      <c r="G2">
        <v>3905000</v>
      </c>
      <c r="H2">
        <v>1639.5</v>
      </c>
      <c r="K2" cm="1">
        <f t="array" ref="K2">_xlfn._xlws.FILTER(D2:D41, (ISNUMBER(SEARCH("SAFFORD", A2:A41))) * (B2:B41=2014))</f>
        <v>494056.3</v>
      </c>
    </row>
    <row r="3" spans="1:11" x14ac:dyDescent="0.2">
      <c r="A3" t="s">
        <v>15</v>
      </c>
      <c r="B3">
        <v>2022</v>
      </c>
      <c r="C3" t="s">
        <v>12</v>
      </c>
      <c r="D3">
        <v>3834640.7</v>
      </c>
      <c r="E3">
        <v>391.3</v>
      </c>
      <c r="F3">
        <v>0.3</v>
      </c>
      <c r="G3">
        <v>3821000</v>
      </c>
      <c r="H3">
        <v>13249.1</v>
      </c>
    </row>
    <row r="4" spans="1:11" x14ac:dyDescent="0.2">
      <c r="A4" t="s">
        <v>15</v>
      </c>
      <c r="B4">
        <v>2015</v>
      </c>
      <c r="C4" t="s">
        <v>12</v>
      </c>
      <c r="D4">
        <v>3651180.7</v>
      </c>
      <c r="E4">
        <v>57.7</v>
      </c>
      <c r="F4">
        <v>0</v>
      </c>
      <c r="G4">
        <v>3647000</v>
      </c>
      <c r="H4">
        <v>4123</v>
      </c>
    </row>
    <row r="5" spans="1:11" x14ac:dyDescent="0.2">
      <c r="A5" t="s">
        <v>15</v>
      </c>
      <c r="B5">
        <v>2023</v>
      </c>
      <c r="C5" t="s">
        <v>12</v>
      </c>
      <c r="D5">
        <v>3215244</v>
      </c>
      <c r="E5">
        <v>286.7</v>
      </c>
      <c r="F5">
        <v>0</v>
      </c>
      <c r="G5">
        <v>3210000</v>
      </c>
      <c r="H5">
        <v>4957.3</v>
      </c>
    </row>
    <row r="6" spans="1:11" x14ac:dyDescent="0.2">
      <c r="A6" t="s">
        <v>15</v>
      </c>
      <c r="B6">
        <v>2020</v>
      </c>
      <c r="C6" t="s">
        <v>12</v>
      </c>
      <c r="D6">
        <v>2562205.7000000002</v>
      </c>
      <c r="E6">
        <v>179</v>
      </c>
      <c r="F6">
        <v>0.4</v>
      </c>
      <c r="G6">
        <v>2561000</v>
      </c>
      <c r="H6">
        <v>1026.3</v>
      </c>
    </row>
    <row r="7" spans="1:11" x14ac:dyDescent="0.2">
      <c r="A7" t="s">
        <v>15</v>
      </c>
      <c r="B7">
        <v>2016</v>
      </c>
      <c r="C7" t="s">
        <v>12</v>
      </c>
      <c r="D7">
        <v>2410491.2000000002</v>
      </c>
      <c r="E7">
        <v>58</v>
      </c>
      <c r="F7">
        <v>0</v>
      </c>
      <c r="G7">
        <v>2405000</v>
      </c>
      <c r="H7">
        <v>5433.2</v>
      </c>
    </row>
    <row r="8" spans="1:11" x14ac:dyDescent="0.2">
      <c r="A8" t="s">
        <v>15</v>
      </c>
      <c r="B8">
        <v>2017</v>
      </c>
      <c r="C8" t="s">
        <v>12</v>
      </c>
      <c r="D8">
        <v>1887110.8</v>
      </c>
      <c r="E8">
        <v>49.4</v>
      </c>
      <c r="F8">
        <v>0</v>
      </c>
      <c r="G8">
        <v>1883000</v>
      </c>
      <c r="H8">
        <v>4061.4</v>
      </c>
    </row>
    <row r="9" spans="1:11" x14ac:dyDescent="0.2">
      <c r="A9" t="s">
        <v>15</v>
      </c>
      <c r="B9">
        <v>2019</v>
      </c>
      <c r="C9" t="s">
        <v>12</v>
      </c>
      <c r="D9">
        <v>1613669.8</v>
      </c>
      <c r="E9">
        <v>167.9</v>
      </c>
      <c r="F9">
        <v>1.1000000000000001</v>
      </c>
      <c r="G9">
        <v>1607000</v>
      </c>
      <c r="H9">
        <v>6500.8</v>
      </c>
    </row>
    <row r="10" spans="1:11" x14ac:dyDescent="0.2">
      <c r="A10" t="s">
        <v>15</v>
      </c>
      <c r="B10">
        <v>2018</v>
      </c>
      <c r="C10" t="s">
        <v>12</v>
      </c>
      <c r="D10">
        <v>1136244.8999999999</v>
      </c>
      <c r="E10">
        <v>148.5</v>
      </c>
      <c r="F10">
        <v>0.6</v>
      </c>
      <c r="G10">
        <v>1132000</v>
      </c>
      <c r="H10">
        <v>4095.8</v>
      </c>
    </row>
    <row r="11" spans="1:11" x14ac:dyDescent="0.2">
      <c r="A11" t="s">
        <v>15</v>
      </c>
      <c r="B11">
        <v>2014</v>
      </c>
      <c r="C11" t="s">
        <v>12</v>
      </c>
      <c r="D11">
        <v>613343.9</v>
      </c>
      <c r="E11">
        <v>49</v>
      </c>
      <c r="F11">
        <v>0.9</v>
      </c>
      <c r="G11">
        <v>611200</v>
      </c>
      <c r="H11">
        <v>2094</v>
      </c>
    </row>
    <row r="12" spans="1:11" x14ac:dyDescent="0.2">
      <c r="A12" t="s">
        <v>9</v>
      </c>
      <c r="B12">
        <v>2017</v>
      </c>
      <c r="C12" t="s">
        <v>12</v>
      </c>
      <c r="D12">
        <v>7380516.2999999998</v>
      </c>
      <c r="E12">
        <v>1223.9000000000001</v>
      </c>
      <c r="F12">
        <v>0</v>
      </c>
      <c r="G12">
        <v>7378900</v>
      </c>
      <c r="H12">
        <v>392.4</v>
      </c>
    </row>
    <row r="13" spans="1:11" x14ac:dyDescent="0.2">
      <c r="A13" t="s">
        <v>9</v>
      </c>
      <c r="B13">
        <v>2016</v>
      </c>
      <c r="C13" t="s">
        <v>12</v>
      </c>
      <c r="D13">
        <v>7316522.7999999998</v>
      </c>
      <c r="E13">
        <v>1175.0999999999999</v>
      </c>
      <c r="F13">
        <v>0</v>
      </c>
      <c r="G13">
        <v>7314900</v>
      </c>
      <c r="H13">
        <v>447.7</v>
      </c>
    </row>
    <row r="14" spans="1:11" x14ac:dyDescent="0.2">
      <c r="A14" t="s">
        <v>9</v>
      </c>
      <c r="B14">
        <v>2019</v>
      </c>
      <c r="C14" t="s">
        <v>12</v>
      </c>
      <c r="D14">
        <v>7114863</v>
      </c>
      <c r="E14">
        <v>1862.8</v>
      </c>
      <c r="F14">
        <v>0</v>
      </c>
      <c r="G14">
        <v>7111930</v>
      </c>
      <c r="H14">
        <v>1070.2</v>
      </c>
    </row>
    <row r="15" spans="1:11" x14ac:dyDescent="0.2">
      <c r="A15" t="s">
        <v>9</v>
      </c>
      <c r="B15">
        <v>2018</v>
      </c>
      <c r="C15" t="s">
        <v>12</v>
      </c>
      <c r="D15">
        <v>6957728.7999999998</v>
      </c>
      <c r="E15">
        <v>290.10000000000002</v>
      </c>
      <c r="F15">
        <v>0</v>
      </c>
      <c r="G15">
        <v>6956890</v>
      </c>
      <c r="H15">
        <v>548.70000000000005</v>
      </c>
    </row>
    <row r="16" spans="1:11" x14ac:dyDescent="0.2">
      <c r="A16" t="s">
        <v>9</v>
      </c>
      <c r="B16">
        <v>2015</v>
      </c>
      <c r="C16" t="s">
        <v>12</v>
      </c>
      <c r="D16">
        <v>6663326.4000000004</v>
      </c>
      <c r="E16">
        <v>1394.2</v>
      </c>
      <c r="F16">
        <v>0</v>
      </c>
      <c r="G16">
        <v>6661530</v>
      </c>
      <c r="H16">
        <v>402.2</v>
      </c>
    </row>
    <row r="17" spans="1:8" x14ac:dyDescent="0.2">
      <c r="A17" t="s">
        <v>9</v>
      </c>
      <c r="B17">
        <v>2020</v>
      </c>
      <c r="C17" t="s">
        <v>12</v>
      </c>
      <c r="D17">
        <v>5839113.0999999996</v>
      </c>
      <c r="E17">
        <v>666.1</v>
      </c>
      <c r="F17">
        <v>0</v>
      </c>
      <c r="G17">
        <v>5834600</v>
      </c>
      <c r="H17">
        <v>3847</v>
      </c>
    </row>
    <row r="18" spans="1:8" x14ac:dyDescent="0.2">
      <c r="A18" t="s">
        <v>9</v>
      </c>
      <c r="B18">
        <v>2021</v>
      </c>
      <c r="C18" t="s">
        <v>12</v>
      </c>
      <c r="D18">
        <v>5407335.7000000002</v>
      </c>
      <c r="E18">
        <v>591.20000000000005</v>
      </c>
      <c r="F18">
        <v>0</v>
      </c>
      <c r="G18">
        <v>5400000</v>
      </c>
      <c r="H18">
        <v>6744.5</v>
      </c>
    </row>
    <row r="19" spans="1:8" x14ac:dyDescent="0.2">
      <c r="A19" t="s">
        <v>9</v>
      </c>
      <c r="B19">
        <v>2014</v>
      </c>
      <c r="C19" t="s">
        <v>12</v>
      </c>
      <c r="D19">
        <v>4403567.0999999996</v>
      </c>
      <c r="E19">
        <v>1453.9</v>
      </c>
      <c r="F19">
        <v>0</v>
      </c>
      <c r="G19">
        <v>4401100</v>
      </c>
      <c r="H19">
        <v>1013.2</v>
      </c>
    </row>
    <row r="20" spans="1:8" x14ac:dyDescent="0.2">
      <c r="A20" t="s">
        <v>9</v>
      </c>
      <c r="B20">
        <v>2022</v>
      </c>
      <c r="C20" t="s">
        <v>12</v>
      </c>
      <c r="D20">
        <v>1298287.3999999999</v>
      </c>
      <c r="E20">
        <v>249.6</v>
      </c>
      <c r="F20">
        <v>0</v>
      </c>
      <c r="G20">
        <v>1298000</v>
      </c>
      <c r="H20">
        <v>37.799999999999997</v>
      </c>
    </row>
    <row r="21" spans="1:8" x14ac:dyDescent="0.2">
      <c r="A21" t="s">
        <v>9</v>
      </c>
      <c r="B21">
        <v>2023</v>
      </c>
      <c r="C21" t="s">
        <v>12</v>
      </c>
      <c r="D21">
        <v>1189355.3999999999</v>
      </c>
      <c r="E21">
        <v>243.6</v>
      </c>
      <c r="F21">
        <v>0</v>
      </c>
      <c r="G21">
        <v>1188480</v>
      </c>
      <c r="H21">
        <v>631.79999999999995</v>
      </c>
    </row>
    <row r="22" spans="1:8" x14ac:dyDescent="0.2">
      <c r="A22" t="s">
        <v>18</v>
      </c>
      <c r="B22">
        <v>2023</v>
      </c>
      <c r="C22" t="s">
        <v>12</v>
      </c>
      <c r="D22">
        <v>1490222</v>
      </c>
      <c r="E22">
        <v>199.1</v>
      </c>
      <c r="F22">
        <v>0</v>
      </c>
      <c r="G22">
        <v>1490000</v>
      </c>
      <c r="H22">
        <v>22.9</v>
      </c>
    </row>
    <row r="23" spans="1:8" x14ac:dyDescent="0.2">
      <c r="A23" t="s">
        <v>18</v>
      </c>
      <c r="B23">
        <v>2022</v>
      </c>
      <c r="C23" t="s">
        <v>12</v>
      </c>
      <c r="D23">
        <v>950445</v>
      </c>
      <c r="E23">
        <v>165</v>
      </c>
      <c r="F23">
        <v>0</v>
      </c>
      <c r="G23">
        <v>949000</v>
      </c>
      <c r="H23">
        <v>1280</v>
      </c>
    </row>
    <row r="24" spans="1:8" x14ac:dyDescent="0.2">
      <c r="A24" t="s">
        <v>18</v>
      </c>
      <c r="B24">
        <v>2020</v>
      </c>
      <c r="C24" t="s">
        <v>12</v>
      </c>
      <c r="D24">
        <v>783948.80000000005</v>
      </c>
      <c r="E24">
        <v>84.3</v>
      </c>
      <c r="F24">
        <v>0</v>
      </c>
      <c r="G24">
        <v>783000</v>
      </c>
      <c r="H24">
        <v>864.5</v>
      </c>
    </row>
    <row r="25" spans="1:8" x14ac:dyDescent="0.2">
      <c r="A25" t="s">
        <v>18</v>
      </c>
      <c r="B25">
        <v>2021</v>
      </c>
      <c r="C25" t="s">
        <v>12</v>
      </c>
      <c r="D25">
        <v>723110.5</v>
      </c>
      <c r="E25">
        <v>109.3</v>
      </c>
      <c r="F25">
        <v>0</v>
      </c>
      <c r="G25">
        <v>723000</v>
      </c>
      <c r="H25">
        <v>1.2</v>
      </c>
    </row>
    <row r="26" spans="1:8" x14ac:dyDescent="0.2">
      <c r="A26" t="s">
        <v>18</v>
      </c>
      <c r="B26">
        <v>2014</v>
      </c>
      <c r="C26" t="s">
        <v>12</v>
      </c>
      <c r="D26">
        <v>494056.3</v>
      </c>
      <c r="E26">
        <v>56.3</v>
      </c>
      <c r="F26">
        <v>0</v>
      </c>
      <c r="G26">
        <v>494000</v>
      </c>
      <c r="H26">
        <v>0</v>
      </c>
    </row>
    <row r="27" spans="1:8" x14ac:dyDescent="0.2">
      <c r="A27" t="s">
        <v>18</v>
      </c>
      <c r="B27">
        <v>2019</v>
      </c>
      <c r="C27" t="s">
        <v>12</v>
      </c>
      <c r="D27">
        <v>285163.3</v>
      </c>
      <c r="E27">
        <v>81.7</v>
      </c>
      <c r="F27">
        <v>0</v>
      </c>
      <c r="G27">
        <v>285000</v>
      </c>
      <c r="H27">
        <v>81.599999999999994</v>
      </c>
    </row>
    <row r="28" spans="1:8" x14ac:dyDescent="0.2">
      <c r="A28" t="s">
        <v>18</v>
      </c>
      <c r="B28">
        <v>2018</v>
      </c>
      <c r="C28" t="s">
        <v>12</v>
      </c>
      <c r="D28">
        <v>263215.40000000002</v>
      </c>
      <c r="E28">
        <v>63.5</v>
      </c>
      <c r="F28">
        <v>0</v>
      </c>
      <c r="G28">
        <v>261000</v>
      </c>
      <c r="H28">
        <v>2151.9</v>
      </c>
    </row>
    <row r="29" spans="1:8" x14ac:dyDescent="0.2">
      <c r="A29" t="s">
        <v>18</v>
      </c>
      <c r="B29">
        <v>2015</v>
      </c>
      <c r="C29" t="s">
        <v>12</v>
      </c>
      <c r="D29">
        <v>259080.9</v>
      </c>
      <c r="E29">
        <v>50.8</v>
      </c>
      <c r="F29">
        <v>0</v>
      </c>
      <c r="G29">
        <v>259000</v>
      </c>
      <c r="H29">
        <v>30.1</v>
      </c>
    </row>
    <row r="30" spans="1:8" x14ac:dyDescent="0.2">
      <c r="A30" t="s">
        <v>18</v>
      </c>
      <c r="B30">
        <v>2016</v>
      </c>
      <c r="C30" t="s">
        <v>12</v>
      </c>
      <c r="D30">
        <v>242234.2</v>
      </c>
      <c r="E30">
        <v>48.1</v>
      </c>
      <c r="F30">
        <v>0</v>
      </c>
      <c r="G30">
        <v>242185</v>
      </c>
      <c r="H30">
        <v>1.1000000000000001</v>
      </c>
    </row>
    <row r="31" spans="1:8" x14ac:dyDescent="0.2">
      <c r="A31" t="s">
        <v>18</v>
      </c>
      <c r="B31">
        <v>2017</v>
      </c>
      <c r="C31" t="s">
        <v>12</v>
      </c>
      <c r="D31">
        <v>193049.7</v>
      </c>
      <c r="E31">
        <v>42.3</v>
      </c>
      <c r="F31">
        <v>0</v>
      </c>
      <c r="G31">
        <v>193000</v>
      </c>
      <c r="H31">
        <v>7.4</v>
      </c>
    </row>
    <row r="32" spans="1:8" x14ac:dyDescent="0.2">
      <c r="A32" t="s">
        <v>13</v>
      </c>
      <c r="B32">
        <v>2023</v>
      </c>
      <c r="C32" t="s">
        <v>12</v>
      </c>
      <c r="D32">
        <v>1673177</v>
      </c>
      <c r="E32">
        <v>174.7</v>
      </c>
      <c r="F32">
        <v>0</v>
      </c>
      <c r="G32">
        <v>1673000.2</v>
      </c>
      <c r="H32">
        <v>2.1</v>
      </c>
    </row>
    <row r="33" spans="1:8" x14ac:dyDescent="0.2">
      <c r="A33" t="s">
        <v>13</v>
      </c>
      <c r="B33">
        <v>2022</v>
      </c>
      <c r="C33" t="s">
        <v>12</v>
      </c>
      <c r="D33">
        <v>1462471.4</v>
      </c>
      <c r="E33">
        <v>71.400000000000006</v>
      </c>
      <c r="F33">
        <v>0</v>
      </c>
      <c r="G33">
        <v>1434000</v>
      </c>
      <c r="H33">
        <v>28400</v>
      </c>
    </row>
    <row r="34" spans="1:8" x14ac:dyDescent="0.2">
      <c r="A34" t="s">
        <v>13</v>
      </c>
      <c r="B34">
        <v>2021</v>
      </c>
      <c r="C34" t="s">
        <v>12</v>
      </c>
      <c r="D34">
        <v>1072069.5</v>
      </c>
      <c r="E34">
        <v>69.099999999999994</v>
      </c>
      <c r="F34">
        <v>0</v>
      </c>
      <c r="G34">
        <v>1072000.1000000001</v>
      </c>
      <c r="H34">
        <v>0.3</v>
      </c>
    </row>
    <row r="35" spans="1:8" x14ac:dyDescent="0.2">
      <c r="A35" t="s">
        <v>13</v>
      </c>
      <c r="B35">
        <v>2014</v>
      </c>
      <c r="C35" t="s">
        <v>12</v>
      </c>
      <c r="D35">
        <v>868071.5</v>
      </c>
      <c r="E35">
        <v>71.399999999999991</v>
      </c>
      <c r="F35">
        <v>0</v>
      </c>
      <c r="G35">
        <v>868000.1</v>
      </c>
      <c r="H35">
        <v>0</v>
      </c>
    </row>
    <row r="36" spans="1:8" x14ac:dyDescent="0.2">
      <c r="A36" t="s">
        <v>13</v>
      </c>
      <c r="B36">
        <v>2015</v>
      </c>
      <c r="C36" t="s">
        <v>12</v>
      </c>
      <c r="D36">
        <v>718131.9</v>
      </c>
      <c r="E36">
        <v>82.2</v>
      </c>
      <c r="F36">
        <v>0</v>
      </c>
      <c r="G36">
        <v>718000.7</v>
      </c>
      <c r="H36">
        <v>49</v>
      </c>
    </row>
    <row r="37" spans="1:8" x14ac:dyDescent="0.2">
      <c r="A37" t="s">
        <v>13</v>
      </c>
      <c r="B37">
        <v>2019</v>
      </c>
      <c r="C37" t="s">
        <v>12</v>
      </c>
      <c r="D37">
        <v>679088.3</v>
      </c>
      <c r="E37">
        <v>87.1</v>
      </c>
      <c r="F37">
        <v>0</v>
      </c>
      <c r="G37">
        <v>679000.1</v>
      </c>
      <c r="H37">
        <v>1.1000000000000001</v>
      </c>
    </row>
    <row r="38" spans="1:8" x14ac:dyDescent="0.2">
      <c r="A38" t="s">
        <v>13</v>
      </c>
      <c r="B38">
        <v>2018</v>
      </c>
      <c r="C38" t="s">
        <v>12</v>
      </c>
      <c r="D38">
        <v>652083.80000000005</v>
      </c>
      <c r="E38">
        <v>83.7</v>
      </c>
      <c r="F38">
        <v>0</v>
      </c>
      <c r="G38">
        <v>652000.1</v>
      </c>
      <c r="H38">
        <v>0</v>
      </c>
    </row>
    <row r="39" spans="1:8" x14ac:dyDescent="0.2">
      <c r="A39" t="s">
        <v>13</v>
      </c>
      <c r="B39">
        <v>2020</v>
      </c>
      <c r="C39" t="s">
        <v>12</v>
      </c>
      <c r="D39">
        <v>601076.1</v>
      </c>
      <c r="E39">
        <v>70.699999999999989</v>
      </c>
      <c r="F39">
        <v>0</v>
      </c>
      <c r="G39">
        <v>601000.1</v>
      </c>
      <c r="H39">
        <v>5.3</v>
      </c>
    </row>
    <row r="40" spans="1:8" x14ac:dyDescent="0.2">
      <c r="A40" t="s">
        <v>13</v>
      </c>
      <c r="B40">
        <v>2017</v>
      </c>
      <c r="C40" t="s">
        <v>12</v>
      </c>
      <c r="D40">
        <v>506436.6</v>
      </c>
      <c r="E40">
        <v>44.6</v>
      </c>
      <c r="F40">
        <v>0</v>
      </c>
      <c r="G40">
        <v>506000.1</v>
      </c>
      <c r="H40">
        <v>391.9</v>
      </c>
    </row>
    <row r="41" spans="1:8" x14ac:dyDescent="0.2">
      <c r="A41" t="s">
        <v>13</v>
      </c>
      <c r="B41">
        <v>2016</v>
      </c>
      <c r="C41" t="s">
        <v>12</v>
      </c>
      <c r="D41">
        <v>442051.3</v>
      </c>
      <c r="E41">
        <v>41.1</v>
      </c>
      <c r="F41">
        <v>0</v>
      </c>
      <c r="G41">
        <v>442000.2</v>
      </c>
      <c r="H4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EAC4-5C2F-6943-A8C2-09235B15122F}">
  <dimension ref="A1:L13"/>
  <sheetViews>
    <sheetView zoomScale="150" zoomScaleNormal="150" workbookViewId="0">
      <selection activeCell="A2" sqref="A2:L6"/>
    </sheetView>
  </sheetViews>
  <sheetFormatPr baseColWidth="10" defaultRowHeight="15" x14ac:dyDescent="0.2"/>
  <sheetData>
    <row r="1" spans="1:12" x14ac:dyDescent="0.2">
      <c r="B1" t="s">
        <v>74</v>
      </c>
    </row>
    <row r="2" spans="1:12" ht="16" x14ac:dyDescent="0.2">
      <c r="A2" s="2"/>
      <c r="B2" s="2">
        <v>2014</v>
      </c>
      <c r="C2" s="2">
        <v>2015</v>
      </c>
      <c r="D2" s="2">
        <v>2016</v>
      </c>
      <c r="E2" s="2">
        <v>2017</v>
      </c>
      <c r="F2" s="2">
        <v>2018</v>
      </c>
      <c r="G2" s="2">
        <v>2019</v>
      </c>
      <c r="H2" s="2">
        <v>2020</v>
      </c>
      <c r="I2" s="2">
        <v>2021</v>
      </c>
      <c r="J2" s="2">
        <v>2022</v>
      </c>
      <c r="K2" s="2">
        <v>2023</v>
      </c>
      <c r="L2" s="2">
        <v>2024</v>
      </c>
    </row>
    <row r="3" spans="1:12" ht="16" x14ac:dyDescent="0.2">
      <c r="A3" s="2" t="s">
        <v>70</v>
      </c>
      <c r="B3" s="2">
        <v>139</v>
      </c>
      <c r="C3" s="2">
        <v>202</v>
      </c>
      <c r="D3" s="2">
        <v>230</v>
      </c>
      <c r="E3" s="2">
        <v>150</v>
      </c>
      <c r="F3" s="2">
        <v>123</v>
      </c>
      <c r="G3" s="2">
        <v>110</v>
      </c>
      <c r="H3" s="2">
        <v>161</v>
      </c>
      <c r="I3" s="2">
        <v>265</v>
      </c>
      <c r="J3" s="2">
        <v>285</v>
      </c>
      <c r="K3" s="2">
        <v>249</v>
      </c>
      <c r="L3" s="2">
        <v>245</v>
      </c>
    </row>
    <row r="4" spans="1:12" ht="16" x14ac:dyDescent="0.2">
      <c r="A4" s="2" t="s">
        <v>71</v>
      </c>
      <c r="B4" s="2">
        <v>237</v>
      </c>
      <c r="C4" s="2">
        <v>210</v>
      </c>
      <c r="D4" s="2">
        <v>177</v>
      </c>
      <c r="E4" s="2">
        <v>173</v>
      </c>
      <c r="F4" s="2">
        <v>199</v>
      </c>
      <c r="G4" s="2">
        <v>218</v>
      </c>
      <c r="H4" s="2">
        <v>216</v>
      </c>
      <c r="I4" s="2">
        <v>184</v>
      </c>
      <c r="J4" s="2">
        <v>165</v>
      </c>
      <c r="K4" s="2">
        <v>146</v>
      </c>
      <c r="L4" s="2">
        <v>146</v>
      </c>
    </row>
    <row r="5" spans="1:12" ht="16" x14ac:dyDescent="0.2">
      <c r="A5" s="2" t="s">
        <v>72</v>
      </c>
      <c r="B5" s="2">
        <v>691</v>
      </c>
      <c r="C5" s="2">
        <v>902</v>
      </c>
      <c r="D5" s="2">
        <v>848</v>
      </c>
      <c r="E5" s="2">
        <v>737</v>
      </c>
      <c r="F5" s="2">
        <v>684</v>
      </c>
      <c r="G5" s="2">
        <v>730</v>
      </c>
      <c r="H5" s="2">
        <v>707</v>
      </c>
      <c r="I5" s="2">
        <v>631</v>
      </c>
      <c r="J5" s="2">
        <v>636</v>
      </c>
      <c r="K5" s="2">
        <v>575</v>
      </c>
      <c r="L5" s="2">
        <v>505</v>
      </c>
    </row>
    <row r="6" spans="1:12" ht="16" x14ac:dyDescent="0.2">
      <c r="A6" s="2" t="s">
        <v>73</v>
      </c>
      <c r="B6" s="2">
        <v>195</v>
      </c>
      <c r="C6" s="2">
        <v>189</v>
      </c>
      <c r="D6" s="2">
        <v>162</v>
      </c>
      <c r="E6" s="2">
        <v>160</v>
      </c>
      <c r="F6" s="2">
        <v>152</v>
      </c>
      <c r="G6" s="2">
        <v>160</v>
      </c>
      <c r="H6" s="2">
        <v>178</v>
      </c>
      <c r="I6" s="2">
        <v>189</v>
      </c>
      <c r="J6" s="2">
        <v>194</v>
      </c>
      <c r="K6" s="2">
        <v>185</v>
      </c>
      <c r="L6" s="2">
        <v>165</v>
      </c>
    </row>
    <row r="8" spans="1:12" x14ac:dyDescent="0.2">
      <c r="B8" t="s">
        <v>75</v>
      </c>
    </row>
    <row r="9" spans="1:12" ht="16" x14ac:dyDescent="0.2">
      <c r="A9" s="2"/>
      <c r="B9" s="2">
        <v>2014</v>
      </c>
      <c r="C9" s="2">
        <v>2015</v>
      </c>
      <c r="D9" s="2">
        <v>2016</v>
      </c>
      <c r="E9" s="2">
        <v>2017</v>
      </c>
      <c r="F9" s="2">
        <v>2018</v>
      </c>
      <c r="G9" s="2">
        <v>2019</v>
      </c>
      <c r="H9" s="2">
        <v>2020</v>
      </c>
      <c r="I9" s="2">
        <v>2021</v>
      </c>
      <c r="J9" s="2">
        <v>2022</v>
      </c>
      <c r="K9" s="2">
        <v>2023</v>
      </c>
      <c r="L9" s="2">
        <v>2024</v>
      </c>
    </row>
    <row r="10" spans="1:12" ht="16" x14ac:dyDescent="0.2">
      <c r="A10" s="2" t="s">
        <v>70</v>
      </c>
      <c r="B10" s="3">
        <f>B3*1000000/(2204.62)</f>
        <v>63049.414411553924</v>
      </c>
      <c r="C10" s="3">
        <f t="shared" ref="C10:L10" si="0">C3*1000000/(2204.62)</f>
        <v>91625.767705999227</v>
      </c>
      <c r="D10" s="3">
        <f t="shared" si="0"/>
        <v>104326.36917019714</v>
      </c>
      <c r="E10" s="3">
        <f t="shared" si="0"/>
        <v>68038.936415345961</v>
      </c>
      <c r="F10" s="3">
        <f t="shared" si="0"/>
        <v>55791.927860583688</v>
      </c>
      <c r="G10" s="3">
        <f t="shared" si="0"/>
        <v>49895.220037920371</v>
      </c>
      <c r="H10" s="3">
        <f t="shared" si="0"/>
        <v>73028.458419137998</v>
      </c>
      <c r="I10" s="3">
        <f t="shared" si="0"/>
        <v>120202.12100044453</v>
      </c>
      <c r="J10" s="3">
        <f t="shared" si="0"/>
        <v>129273.97918915733</v>
      </c>
      <c r="K10" s="3">
        <f t="shared" si="0"/>
        <v>112944.6344494743</v>
      </c>
      <c r="L10" s="3">
        <f t="shared" si="0"/>
        <v>111130.26281173174</v>
      </c>
    </row>
    <row r="11" spans="1:12" ht="16" x14ac:dyDescent="0.2">
      <c r="A11" s="2" t="s">
        <v>71</v>
      </c>
      <c r="B11" s="3">
        <f t="shared" ref="B11:L13" si="1">B4*1000000/(2204.62)</f>
        <v>107501.51953624662</v>
      </c>
      <c r="C11" s="3">
        <f t="shared" si="1"/>
        <v>95254.510981484345</v>
      </c>
      <c r="D11" s="3">
        <f t="shared" si="1"/>
        <v>80285.944970108234</v>
      </c>
      <c r="E11" s="3">
        <f t="shared" si="1"/>
        <v>78471.573332365675</v>
      </c>
      <c r="F11" s="3">
        <f t="shared" si="1"/>
        <v>90264.988977692308</v>
      </c>
      <c r="G11" s="3">
        <f t="shared" si="1"/>
        <v>98883.254256969463</v>
      </c>
      <c r="H11" s="3">
        <f t="shared" si="1"/>
        <v>97976.068438098184</v>
      </c>
      <c r="I11" s="3">
        <f t="shared" si="1"/>
        <v>83461.095336157712</v>
      </c>
      <c r="J11" s="3">
        <f t="shared" si="1"/>
        <v>74842.830056880557</v>
      </c>
      <c r="K11" s="3">
        <f t="shared" si="1"/>
        <v>66224.564777603402</v>
      </c>
      <c r="L11" s="3">
        <f t="shared" si="1"/>
        <v>66224.564777603402</v>
      </c>
    </row>
    <row r="12" spans="1:12" ht="16" x14ac:dyDescent="0.2">
      <c r="A12" s="2" t="s">
        <v>72</v>
      </c>
      <c r="B12" s="3">
        <f t="shared" si="1"/>
        <v>313432.70042002707</v>
      </c>
      <c r="C12" s="3">
        <f t="shared" si="1"/>
        <v>409140.80431094702</v>
      </c>
      <c r="D12" s="3">
        <f t="shared" si="1"/>
        <v>384646.7872014225</v>
      </c>
      <c r="E12" s="3">
        <f t="shared" si="1"/>
        <v>334297.97425406647</v>
      </c>
      <c r="F12" s="3">
        <f t="shared" si="1"/>
        <v>310257.55005397758</v>
      </c>
      <c r="G12" s="3">
        <f t="shared" si="1"/>
        <v>331122.82388801698</v>
      </c>
      <c r="H12" s="3">
        <f t="shared" si="1"/>
        <v>320690.18697099731</v>
      </c>
      <c r="I12" s="3">
        <f t="shared" si="1"/>
        <v>286217.12585388869</v>
      </c>
      <c r="J12" s="3">
        <f t="shared" si="1"/>
        <v>288485.09040106687</v>
      </c>
      <c r="K12" s="3">
        <f t="shared" si="1"/>
        <v>260815.92292549284</v>
      </c>
      <c r="L12" s="3">
        <f t="shared" si="1"/>
        <v>229064.41926499805</v>
      </c>
    </row>
    <row r="13" spans="1:12" ht="16" x14ac:dyDescent="0.2">
      <c r="A13" s="2" t="s">
        <v>73</v>
      </c>
      <c r="B13" s="3">
        <f t="shared" si="1"/>
        <v>88450.617339949749</v>
      </c>
      <c r="C13" s="3">
        <f t="shared" si="1"/>
        <v>85729.059883335911</v>
      </c>
      <c r="D13" s="3">
        <f t="shared" si="1"/>
        <v>73482.051328573638</v>
      </c>
      <c r="E13" s="3">
        <f t="shared" si="1"/>
        <v>72574.865509702358</v>
      </c>
      <c r="F13" s="3">
        <f t="shared" si="1"/>
        <v>68946.12223421724</v>
      </c>
      <c r="G13" s="3">
        <f t="shared" si="1"/>
        <v>72574.865509702358</v>
      </c>
      <c r="H13" s="3">
        <f t="shared" si="1"/>
        <v>80739.537879543874</v>
      </c>
      <c r="I13" s="3">
        <f t="shared" si="1"/>
        <v>85729.059883335911</v>
      </c>
      <c r="J13" s="3">
        <f t="shared" si="1"/>
        <v>87997.02443051411</v>
      </c>
      <c r="K13" s="3">
        <f t="shared" si="1"/>
        <v>83914.688245593352</v>
      </c>
      <c r="L13" s="3">
        <f t="shared" si="1"/>
        <v>74842.830056880557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982C-4446-FD46-BB6A-45955AC5547D}">
  <dimension ref="A1:K5"/>
  <sheetViews>
    <sheetView workbookViewId="0">
      <selection activeCell="H12" sqref="H12"/>
    </sheetView>
  </sheetViews>
  <sheetFormatPr baseColWidth="10" defaultRowHeight="15" x14ac:dyDescent="0.2"/>
  <sheetData>
    <row r="1" spans="1:11" ht="16" x14ac:dyDescent="0.2">
      <c r="A1" t="s">
        <v>76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11" ht="16" x14ac:dyDescent="0.2">
      <c r="A2" s="2" t="s">
        <v>70</v>
      </c>
      <c r="B2" s="4" cm="1">
        <f t="array" ref="B2">_xlfn._xlws.FILTER(Lead!$D$2:$D$41, (ISNUMBER(SEARCH($A2, Lead!$A$2:$A$41))) * (Lead!$B$2:$B$41=B$1))/Production!B3</f>
        <v>3554.3618705035969</v>
      </c>
      <c r="C2" s="4" cm="1">
        <f t="array" ref="C2">_xlfn._xlws.FILTER(Lead!$D$2:$D$41, (ISNUMBER(SEARCH($A2, Lead!$A$2:$A$41))) * (Lead!$B$2:$B$41=C$1))/Production!C3</f>
        <v>1282.5787128712871</v>
      </c>
      <c r="D2" s="4" cm="1">
        <f t="array" ref="D2">_xlfn._xlws.FILTER(Lead!$D$2:$D$41, (ISNUMBER(SEARCH($A2, Lead!$A$2:$A$41))) * (Lead!$B$2:$B$41=D$1))/Production!D3</f>
        <v>1053.1921739130435</v>
      </c>
      <c r="E2" s="4" cm="1">
        <f t="array" ref="E2">_xlfn._xlws.FILTER(Lead!$D$2:$D$41, (ISNUMBER(SEARCH($A2, Lead!$A$2:$A$41))) * (Lead!$B$2:$B$41=E$1))/Production!E3</f>
        <v>1286.998</v>
      </c>
      <c r="F2" s="4" cm="1">
        <f t="array" ref="F2">_xlfn._xlws.FILTER(Lead!$D$2:$D$41, (ISNUMBER(SEARCH($A2, Lead!$A$2:$A$41))) * (Lead!$B$2:$B$41=F$1))/Production!F3</f>
        <v>2139.9626016260163</v>
      </c>
      <c r="G2" s="4" cm="1">
        <f t="array" ref="G2">_xlfn._xlws.FILTER(Lead!$D$2:$D$41, (ISNUMBER(SEARCH($A2, Lead!$A$2:$A$41))) * (Lead!$B$2:$B$41=G$1))/Production!G3</f>
        <v>2592.3936363636362</v>
      </c>
      <c r="H2" s="4" cm="1">
        <f t="array" ref="H2">_xlfn._xlws.FILTER(Lead!$D$2:$D$41, (ISNUMBER(SEARCH($A2, Lead!$A$2:$A$41))) * (Lead!$B$2:$B$41=H$1))/Production!H3</f>
        <v>4869.2472049689441</v>
      </c>
      <c r="I2" s="4" cm="1">
        <f t="array" ref="I2">_xlfn._xlws.FILTER(Lead!$D$2:$D$41, (ISNUMBER(SEARCH($A2, Lead!$A$2:$A$41))) * (Lead!$B$2:$B$41=I$1))/Production!I3</f>
        <v>2728.7188679245282</v>
      </c>
      <c r="J2" s="4" cm="1">
        <f t="array" ref="J2">_xlfn._xlws.FILTER(Lead!$D$2:$D$41, (ISNUMBER(SEARCH($A2, Lead!$A$2:$A$41))) * (Lead!$B$2:$B$41=J$1))/Production!J3</f>
        <v>3334.8947368421054</v>
      </c>
      <c r="K2" s="4" cm="1">
        <f t="array" ref="K2">_xlfn._xlws.FILTER(Lead!$D$2:$D$41, (ISNUMBER(SEARCH($A2, Lead!$A$2:$A$41))) * (Lead!$B$2:$B$41=K$1))/Production!K3</f>
        <v>5984.8273092369482</v>
      </c>
    </row>
    <row r="3" spans="1:11" ht="16" x14ac:dyDescent="0.2">
      <c r="A3" s="2" t="s">
        <v>71</v>
      </c>
      <c r="B3" s="4" cm="1">
        <f t="array" ref="B3">_xlfn._xlws.FILTER(Lead!$D$2:$D$41, (ISNUMBER(SEARCH($A3, Lead!$A$2:$A$41))) * (Lead!$B$2:$B$41=B$1))/Production!B4</f>
        <v>2587.9489451476793</v>
      </c>
      <c r="C3" s="4" cm="1">
        <f t="array" ref="C3">_xlfn._xlws.FILTER(Lead!$D$2:$D$41, (ISNUMBER(SEARCH($A3, Lead!$A$2:$A$41))) * (Lead!$B$2:$B$41=C$1))/Production!C4</f>
        <v>17386.574761904762</v>
      </c>
      <c r="D3" s="4" cm="1">
        <f t="array" ref="D3">_xlfn._xlws.FILTER(Lead!$D$2:$D$41, (ISNUMBER(SEARCH($A3, Lead!$A$2:$A$41))) * (Lead!$B$2:$B$41=D$1))/Production!D4</f>
        <v>13618.594350282487</v>
      </c>
      <c r="E3" s="4" cm="1">
        <f t="array" ref="E3">_xlfn._xlws.FILTER(Lead!$D$2:$D$41, (ISNUMBER(SEARCH($A3, Lead!$A$2:$A$41))) * (Lead!$B$2:$B$41=E$1))/Production!E4</f>
        <v>10908.154913294798</v>
      </c>
      <c r="F3" s="4" cm="1">
        <f t="array" ref="F3">_xlfn._xlws.FILTER(Lead!$D$2:$D$41, (ISNUMBER(SEARCH($A3, Lead!$A$2:$A$41))) * (Lead!$B$2:$B$41=F$1))/Production!F4</f>
        <v>5709.7733668341707</v>
      </c>
      <c r="G3" s="4" cm="1">
        <f t="array" ref="G3">_xlfn._xlws.FILTER(Lead!$D$2:$D$41, (ISNUMBER(SEARCH($A3, Lead!$A$2:$A$41))) * (Lead!$B$2:$B$41=G$1))/Production!G4</f>
        <v>7402.1550458715601</v>
      </c>
      <c r="H3" s="4" cm="1">
        <f t="array" ref="H3">_xlfn._xlws.FILTER(Lead!$D$2:$D$41, (ISNUMBER(SEARCH($A3, Lead!$A$2:$A$41))) * (Lead!$B$2:$B$41=H$1))/Production!H4</f>
        <v>11862.063425925926</v>
      </c>
      <c r="I3" s="4" cm="1">
        <f t="array" ref="I3">_xlfn._xlws.FILTER(Lead!$D$2:$D$41, (ISNUMBER(SEARCH($A3, Lead!$A$2:$A$41))) * (Lead!$B$2:$B$41=I$1))/Production!I4</f>
        <v>21233.053260869565</v>
      </c>
      <c r="J3" s="4" cm="1">
        <f t="array" ref="J3">_xlfn._xlws.FILTER(Lead!$D$2:$D$41, (ISNUMBER(SEARCH($A3, Lead!$A$2:$A$41))) * (Lead!$B$2:$B$41=J$1))/Production!J4</f>
        <v>23240.246666666666</v>
      </c>
      <c r="K3" s="4" cm="1">
        <f t="array" ref="K3">_xlfn._xlws.FILTER(Lead!$D$2:$D$41, (ISNUMBER(SEARCH($A3, Lead!$A$2:$A$41))) * (Lead!$B$2:$B$41=K$1))/Production!K4</f>
        <v>22022.219178082192</v>
      </c>
    </row>
    <row r="4" spans="1:11" ht="16" x14ac:dyDescent="0.2">
      <c r="A4" s="2" t="s">
        <v>72</v>
      </c>
      <c r="B4" s="4" cm="1">
        <f t="array" ref="B4">_xlfn._xlws.FILTER(Lead!$D$2:$D$41, (ISNUMBER(SEARCH($A4, Lead!$A$2:$A$41))) * (Lead!$B$2:$B$41=B$1))/Production!B5</f>
        <v>6372.7454413892901</v>
      </c>
      <c r="C4" s="4" cm="1">
        <f t="array" ref="C4">_xlfn._xlws.FILTER(Lead!$D$2:$D$41, (ISNUMBER(SEARCH($A4, Lead!$A$2:$A$41))) * (Lead!$B$2:$B$41=C$1))/Production!C5</f>
        <v>7387.2798226164086</v>
      </c>
      <c r="D4" s="4" cm="1">
        <f t="array" ref="D4">_xlfn._xlws.FILTER(Lead!$D$2:$D$41, (ISNUMBER(SEARCH($A4, Lead!$A$2:$A$41))) * (Lead!$B$2:$B$41=D$1))/Production!D5</f>
        <v>8627.9750000000004</v>
      </c>
      <c r="E4" s="4" cm="1">
        <f t="array" ref="E4">_xlfn._xlws.FILTER(Lead!$D$2:$D$41, (ISNUMBER(SEARCH($A4, Lead!$A$2:$A$41))) * (Lead!$B$2:$B$41=E$1))/Production!E5</f>
        <v>10014.269063772048</v>
      </c>
      <c r="F4" s="4" cm="1">
        <f t="array" ref="F4">_xlfn._xlws.FILTER(Lead!$D$2:$D$41, (ISNUMBER(SEARCH($A4, Lead!$A$2:$A$41))) * (Lead!$B$2:$B$41=F$1))/Production!F5</f>
        <v>10172.118128654971</v>
      </c>
      <c r="G4" s="4" cm="1">
        <f t="array" ref="G4">_xlfn._xlws.FILTER(Lead!$D$2:$D$41, (ISNUMBER(SEARCH($A4, Lead!$A$2:$A$41))) * (Lead!$B$2:$B$41=G$1))/Production!G5</f>
        <v>9746.3876712328765</v>
      </c>
      <c r="H4" s="4" cm="1">
        <f t="array" ref="H4">_xlfn._xlws.FILTER(Lead!$D$2:$D$41, (ISNUMBER(SEARCH($A4, Lead!$A$2:$A$41))) * (Lead!$B$2:$B$41=H$1))/Production!H5</f>
        <v>8259.0001414427152</v>
      </c>
      <c r="I4" s="4" cm="1">
        <f t="array" ref="I4">_xlfn._xlws.FILTER(Lead!$D$2:$D$41, (ISNUMBER(SEARCH($A4, Lead!$A$2:$A$41))) * (Lead!$B$2:$B$41=I$1))/Production!I5</f>
        <v>8569.470206022188</v>
      </c>
      <c r="J4" s="4" cm="1">
        <f t="array" ref="J4">_xlfn._xlws.FILTER(Lead!$D$2:$D$41, (ISNUMBER(SEARCH($A4, Lead!$A$2:$A$41))) * (Lead!$B$2:$B$41=J$1))/Production!J5</f>
        <v>2041.3323899371069</v>
      </c>
      <c r="K4" s="4" cm="1">
        <f t="array" ref="K4">_xlfn._xlws.FILTER(Lead!$D$2:$D$41, (ISNUMBER(SEARCH($A4, Lead!$A$2:$A$41))) * (Lead!$B$2:$B$41=K$1))/Production!K5</f>
        <v>2068.4441739130434</v>
      </c>
    </row>
    <row r="5" spans="1:11" ht="16" x14ac:dyDescent="0.2">
      <c r="A5" s="2" t="s">
        <v>73</v>
      </c>
      <c r="B5" s="4" cm="1">
        <f t="array" ref="B5">_xlfn._xlws.FILTER(Lead!$D$2:$D$41, (ISNUMBER(SEARCH($A5, Lead!$A$2:$A$41))) * (Lead!$B$2:$B$41=B$1))/Production!B6</f>
        <v>4451.6487179487176</v>
      </c>
      <c r="C5" s="4" cm="1">
        <f t="array" ref="C5">_xlfn._xlws.FILTER(Lead!$D$2:$D$41, (ISNUMBER(SEARCH($A5, Lead!$A$2:$A$41))) * (Lead!$B$2:$B$41=C$1))/Production!C6</f>
        <v>3799.6396825396828</v>
      </c>
      <c r="D5" s="4" cm="1">
        <f t="array" ref="D5">_xlfn._xlws.FILTER(Lead!$D$2:$D$41, (ISNUMBER(SEARCH($A5, Lead!$A$2:$A$41))) * (Lead!$B$2:$B$41=D$1))/Production!D6</f>
        <v>2728.7117283950615</v>
      </c>
      <c r="E5" s="4" cm="1">
        <f t="array" ref="E5">_xlfn._xlws.FILTER(Lead!$D$2:$D$41, (ISNUMBER(SEARCH($A5, Lead!$A$2:$A$41))) * (Lead!$B$2:$B$41=E$1))/Production!E6</f>
        <v>3165.2287499999998</v>
      </c>
      <c r="F5" s="4" cm="1">
        <f t="array" ref="F5">_xlfn._xlws.FILTER(Lead!$D$2:$D$41, (ISNUMBER(SEARCH($A5, Lead!$A$2:$A$41))) * (Lead!$B$2:$B$41=F$1))/Production!F6</f>
        <v>4290.0250000000005</v>
      </c>
      <c r="G5" s="4" cm="1">
        <f t="array" ref="G5">_xlfn._xlws.FILTER(Lead!$D$2:$D$41, (ISNUMBER(SEARCH($A5, Lead!$A$2:$A$41))) * (Lead!$B$2:$B$41=G$1))/Production!G6</f>
        <v>4244.3018750000001</v>
      </c>
      <c r="H5" s="4" cm="1">
        <f t="array" ref="H5">_xlfn._xlws.FILTER(Lead!$D$2:$D$41, (ISNUMBER(SEARCH($A5, Lead!$A$2:$A$41))) * (Lead!$B$2:$B$41=H$1))/Production!H6</f>
        <v>3376.83202247191</v>
      </c>
      <c r="I5" s="4" cm="1">
        <f t="array" ref="I5">_xlfn._xlws.FILTER(Lead!$D$2:$D$41, (ISNUMBER(SEARCH($A5, Lead!$A$2:$A$41))) * (Lead!$B$2:$B$41=I$1))/Production!I6</f>
        <v>5672.3253968253966</v>
      </c>
      <c r="J5" s="4" cm="1">
        <f t="array" ref="J5">_xlfn._xlws.FILTER(Lead!$D$2:$D$41, (ISNUMBER(SEARCH($A5, Lead!$A$2:$A$41))) * (Lead!$B$2:$B$41=J$1))/Production!J6</f>
        <v>7538.5123711340202</v>
      </c>
      <c r="K5" s="4" cm="1">
        <f t="array" ref="K5">_xlfn._xlws.FILTER(Lead!$D$2:$D$41, (ISNUMBER(SEARCH($A5, Lead!$A$2:$A$41))) * (Lead!$B$2:$B$41=K$1))/Production!K6</f>
        <v>9044.2000000000007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Releases</vt:lpstr>
      <vt:lpstr>Lead</vt:lpstr>
      <vt:lpstr>Production</vt:lpstr>
      <vt:lpstr>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Jenna Trost</cp:lastModifiedBy>
  <dcterms:created xsi:type="dcterms:W3CDTF">2025-06-22T15:33:34Z</dcterms:created>
  <dcterms:modified xsi:type="dcterms:W3CDTF">2025-06-23T15:36:54Z</dcterms:modified>
</cp:coreProperties>
</file>